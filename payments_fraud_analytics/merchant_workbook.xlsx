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s-view" sheetId="1" r:id="rId4"/>
    <sheet state="visible" name="Pivot Table" sheetId="2" r:id="rId5"/>
    <sheet state="visible" name="merchants" sheetId="3" r:id="rId6"/>
    <sheet state="visible" name="payment_methods" sheetId="4" r:id="rId7"/>
  </sheets>
  <definedNames>
    <definedName hidden="1" localSheetId="0" name="_xlnm._FilterDatabase">'transactions-view'!$A$1:$AA$548</definedName>
  </definedNames>
  <calcPr/>
  <pivotCaches>
    <pivotCache cacheId="0" r:id="rId8"/>
  </pivotCaches>
  <extLst>
    <ext uri="GoogleSheetsCustomDataVersion2">
      <go:sheetsCustomData xmlns:go="http://customooxmlschemas.google.com/" r:id="rId9" roundtripDataChecksum="Oz4/or89SVg9muWPKpFoUtrnSkB07lhCAKTMChW1YJQ="/>
    </ext>
  </extLst>
</workbook>
</file>

<file path=xl/sharedStrings.xml><?xml version="1.0" encoding="utf-8"?>
<sst xmlns="http://schemas.openxmlformats.org/spreadsheetml/2006/main" count="1927" uniqueCount="666">
  <si>
    <t>transaction_id</t>
  </si>
  <si>
    <t>merchant_id</t>
  </si>
  <si>
    <t>summary of total amount_inr and count of transactions by merchant_id and status</t>
  </si>
  <si>
    <t>user_id</t>
  </si>
  <si>
    <t>transaction_time</t>
  </si>
  <si>
    <t>transaction_date</t>
  </si>
  <si>
    <t>unique days transacted vs. total transaction count</t>
  </si>
  <si>
    <t>amount_inr</t>
  </si>
  <si>
    <t>merchant_name</t>
  </si>
  <si>
    <t>payment_method</t>
  </si>
  <si>
    <t>category</t>
  </si>
  <si>
    <t>status</t>
  </si>
  <si>
    <t>region</t>
  </si>
  <si>
    <t>risk_score</t>
  </si>
  <si>
    <t>Merchant_001</t>
  </si>
  <si>
    <t>Wallet</t>
  </si>
  <si>
    <t>fees</t>
  </si>
  <si>
    <t>ecommerce</t>
  </si>
  <si>
    <t>South</t>
  </si>
  <si>
    <t>daily_amount_total</t>
  </si>
  <si>
    <t>UPI</t>
  </si>
  <si>
    <t>Merchant_002</t>
  </si>
  <si>
    <t>Card</t>
  </si>
  <si>
    <t>grocery</t>
  </si>
  <si>
    <t>West</t>
  </si>
  <si>
    <t>Netbanking</t>
  </si>
  <si>
    <t>Merchant_003</t>
  </si>
  <si>
    <t>East</t>
  </si>
  <si>
    <t>Merchant_004</t>
  </si>
  <si>
    <t>Merchant_005</t>
  </si>
  <si>
    <t>recharge</t>
  </si>
  <si>
    <t>Merchant_006</t>
  </si>
  <si>
    <t>food_delivery</t>
  </si>
  <si>
    <t>Merchant_007</t>
  </si>
  <si>
    <t>Merchant_008</t>
  </si>
  <si>
    <t>North</t>
  </si>
  <si>
    <t>Merchant_009</t>
  </si>
  <si>
    <t>Merchant_010</t>
  </si>
  <si>
    <t>Merchant_011</t>
  </si>
  <si>
    <t>TXN100000</t>
  </si>
  <si>
    <t>Merchant_012</t>
  </si>
  <si>
    <t>Merchant_013</t>
  </si>
  <si>
    <t>travel</t>
  </si>
  <si>
    <t>Merchant_014</t>
  </si>
  <si>
    <t>Merchant_015</t>
  </si>
  <si>
    <t>Merchant_016</t>
  </si>
  <si>
    <t>bill_payment</t>
  </si>
  <si>
    <t>Merchant_017</t>
  </si>
  <si>
    <t>captured</t>
  </si>
  <si>
    <t>Merchant_018</t>
  </si>
  <si>
    <t>Merchant_019</t>
  </si>
  <si>
    <t>Merchant_020</t>
  </si>
  <si>
    <t>Merchant_021</t>
  </si>
  <si>
    <t>Merchant_022</t>
  </si>
  <si>
    <t>Merchant_023</t>
  </si>
  <si>
    <t>Merchant_024</t>
  </si>
  <si>
    <t>Merchant_025</t>
  </si>
  <si>
    <t>Merchant_026</t>
  </si>
  <si>
    <t>Merchant_027</t>
  </si>
  <si>
    <t>Merchant_028</t>
  </si>
  <si>
    <t>Merchant_029</t>
  </si>
  <si>
    <t>Merchant_030</t>
  </si>
  <si>
    <t>Merchant_031</t>
  </si>
  <si>
    <t>Merchant_032</t>
  </si>
  <si>
    <t>Merchant_033</t>
  </si>
  <si>
    <t>Merchant_034</t>
  </si>
  <si>
    <t>Merchant_035</t>
  </si>
  <si>
    <t>Merchant_036</t>
  </si>
  <si>
    <t>entertainment</t>
  </si>
  <si>
    <t>Merchant_037</t>
  </si>
  <si>
    <t>Merchant_038</t>
  </si>
  <si>
    <t>Merchant_039</t>
  </si>
  <si>
    <t>Merchant_040</t>
  </si>
  <si>
    <t>total amount_inr</t>
  </si>
  <si>
    <t>count of transactions</t>
  </si>
  <si>
    <t>COUNT of UNIQUE Txn days</t>
  </si>
  <si>
    <t>COUNT of transactions</t>
  </si>
  <si>
    <t>TXN100001</t>
  </si>
  <si>
    <t>failed</t>
  </si>
  <si>
    <t>1 Total</t>
  </si>
  <si>
    <t>2 Total</t>
  </si>
  <si>
    <t>chargeback</t>
  </si>
  <si>
    <t>3 Total</t>
  </si>
  <si>
    <t>TXN100002</t>
  </si>
  <si>
    <t>4 Total</t>
  </si>
  <si>
    <t>5 Total</t>
  </si>
  <si>
    <t>6 Total</t>
  </si>
  <si>
    <t>7 Total</t>
  </si>
  <si>
    <t>TXN100003</t>
  </si>
  <si>
    <t>8 Total</t>
  </si>
  <si>
    <t>9 Total</t>
  </si>
  <si>
    <t>TXN100004</t>
  </si>
  <si>
    <t>10 Total</t>
  </si>
  <si>
    <t>11 Total</t>
  </si>
  <si>
    <t>12 Total</t>
  </si>
  <si>
    <t>TXN100005</t>
  </si>
  <si>
    <t>Grand Total</t>
  </si>
  <si>
    <t>13 Total</t>
  </si>
  <si>
    <t>14 Total</t>
  </si>
  <si>
    <t>15 Total</t>
  </si>
  <si>
    <t>16 Total</t>
  </si>
  <si>
    <t>TXN100006</t>
  </si>
  <si>
    <t>17 Total</t>
  </si>
  <si>
    <t>18 Total</t>
  </si>
  <si>
    <t>19 Total</t>
  </si>
  <si>
    <t>20 Total</t>
  </si>
  <si>
    <t>21 Total</t>
  </si>
  <si>
    <t>22 Total</t>
  </si>
  <si>
    <t>TXN100007</t>
  </si>
  <si>
    <t>23 Total</t>
  </si>
  <si>
    <t>24 Total</t>
  </si>
  <si>
    <t>25 Total</t>
  </si>
  <si>
    <t>26 Total</t>
  </si>
  <si>
    <t>27 Total</t>
  </si>
  <si>
    <t>28 Total</t>
  </si>
  <si>
    <t>29 Total</t>
  </si>
  <si>
    <t>TXN100008</t>
  </si>
  <si>
    <t>30 Total</t>
  </si>
  <si>
    <t>31 Total</t>
  </si>
  <si>
    <t>32 Total</t>
  </si>
  <si>
    <t>33 Total</t>
  </si>
  <si>
    <t>34 Total</t>
  </si>
  <si>
    <t>35 Total</t>
  </si>
  <si>
    <t>TXN100009</t>
  </si>
  <si>
    <t>36 Total</t>
  </si>
  <si>
    <t>37 Total</t>
  </si>
  <si>
    <t>38 Total</t>
  </si>
  <si>
    <t>39 Total</t>
  </si>
  <si>
    <t>40 Total</t>
  </si>
  <si>
    <t>TXN100010</t>
  </si>
  <si>
    <t>TXN100011</t>
  </si>
  <si>
    <t>TXN100012</t>
  </si>
  <si>
    <t>TXN100013</t>
  </si>
  <si>
    <t>TXN100014</t>
  </si>
  <si>
    <t>TXN100015</t>
  </si>
  <si>
    <t>TXN100016</t>
  </si>
  <si>
    <t>TXN100017</t>
  </si>
  <si>
    <t>TXN100018</t>
  </si>
  <si>
    <t>TXN100019</t>
  </si>
  <si>
    <t>TXN100020</t>
  </si>
  <si>
    <t>TXN100021</t>
  </si>
  <si>
    <t>TXN100022</t>
  </si>
  <si>
    <t>TXN100023</t>
  </si>
  <si>
    <t>TXN100024</t>
  </si>
  <si>
    <t>TXN100025</t>
  </si>
  <si>
    <t>TXN100026</t>
  </si>
  <si>
    <t>TXN100027</t>
  </si>
  <si>
    <t>TXN100028</t>
  </si>
  <si>
    <t>TXN100029</t>
  </si>
  <si>
    <t>TXN100030</t>
  </si>
  <si>
    <t>TXN100031</t>
  </si>
  <si>
    <t>TXN100032</t>
  </si>
  <si>
    <t>TXN100033</t>
  </si>
  <si>
    <t>TXN100034</t>
  </si>
  <si>
    <t>TXN100035</t>
  </si>
  <si>
    <t>TXN100036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</si>
  <si>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</si>
  <si>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</si>
  <si>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</si>
  <si>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</si>
  <si>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</si>
  <si>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</si>
  <si>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</si>
  <si>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TXN100044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</si>
  <si>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</si>
  <si>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</si>
  <si>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</si>
  <si>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</si>
  <si>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</si>
  <si>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</si>
  <si>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</si>
  <si>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TXN100052</t>
  </si>
  <si>
    <t>TXN100053</t>
  </si>
  <si>
    <t>TXN100054</t>
  </si>
  <si>
    <t>TXN100055</t>
  </si>
  <si>
    <t>TXN100056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</si>
  <si>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</si>
  <si>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</si>
  <si>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</si>
  <si>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</si>
  <si>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</si>
  <si>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</si>
  <si>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</si>
  <si>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</si>
  <si>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</si>
  <si>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</si>
  <si>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</si>
  <si>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</si>
  <si>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</si>
  <si>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</si>
  <si>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</si>
  <si>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</si>
  <si>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</si>
  <si>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</si>
  <si>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</si>
  <si>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</si>
  <si>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</si>
  <si>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</si>
  <si>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</si>
  <si>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</si>
  <si>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</si>
  <si>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</si>
  <si>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</si>
  <si>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</si>
  <si>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</si>
  <si>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</si>
  <si>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</si>
  <si>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</si>
  <si>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</si>
  <si>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</si>
  <si>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</si>
  <si>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</si>
  <si>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</si>
  <si>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</si>
  <si>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</si>
  <si>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</si>
  <si>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</si>
  <si>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</si>
  <si>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</si>
  <si>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</si>
  <si>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</si>
  <si>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</si>
  <si>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</si>
  <si>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</si>
  <si>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</si>
  <si>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</si>
  <si>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</si>
  <si>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</si>
  <si>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</si>
  <si>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</si>
  <si>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</si>
  <si>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</si>
  <si>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</si>
  <si>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</si>
  <si>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</si>
  <si>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</si>
  <si>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</si>
  <si>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</si>
  <si>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</si>
  <si>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</si>
  <si>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</si>
  <si>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</si>
  <si>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</si>
  <si>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</si>
  <si>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</si>
  <si>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</si>
  <si>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</si>
  <si>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</si>
  <si>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</si>
  <si>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TXN100130</t>
  </si>
  <si>
    <t>TXN100131</t>
  </si>
  <si>
    <t>TXN100132</t>
  </si>
  <si>
    <t>TXN100133</t>
  </si>
  <si>
    <t>TXN100134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</si>
  <si>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</si>
  <si>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</si>
  <si>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</si>
  <si>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</si>
  <si>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</si>
  <si>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</si>
  <si>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</si>
  <si>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</si>
  <si>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</si>
  <si>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</si>
  <si>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</si>
  <si>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</si>
  <si>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</si>
  <si>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</si>
  <si>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</si>
  <si>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</si>
  <si>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TXN100151</t>
  </si>
  <si>
    <t>TXN100152</t>
  </si>
  <si>
    <t>TXN100153</t>
  </si>
  <si>
    <t>TXN100154</t>
  </si>
  <si>
    <t>TXN100155</t>
  </si>
  <si>
    <t>TXN100156</t>
  </si>
  <si>
    <t>TXN100157</t>
  </si>
  <si>
    <t>TXN100158</t>
  </si>
  <si>
    <t>TXN100159</t>
  </si>
  <si>
    <t>TXN100160</t>
  </si>
  <si>
    <t>TXN100161</t>
  </si>
  <si>
    <t>TXN100162</t>
  </si>
  <si>
    <t>TXN100163</t>
  </si>
  <si>
    <t>TXN100164</t>
  </si>
  <si>
    <t>TXN100165</t>
  </si>
  <si>
    <t>TXN100166</t>
  </si>
  <si>
    <t>TXN100167</t>
  </si>
  <si>
    <t>TXN100168</t>
  </si>
  <si>
    <t>TXN100169</t>
  </si>
  <si>
    <t>TXN100170</t>
  </si>
  <si>
    <t>TXN100171</t>
  </si>
  <si>
    <t>TXN100172</t>
  </si>
  <si>
    <t>TXN100173</t>
  </si>
  <si>
    <t>TXN100174</t>
  </si>
  <si>
    <t>TXN100175</t>
  </si>
  <si>
    <t>TXN100176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</si>
  <si>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</si>
  <si>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</si>
  <si>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</si>
  <si>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</si>
  <si>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</si>
  <si>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</si>
  <si>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</si>
  <si>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</si>
  <si>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TXN100185</t>
  </si>
  <si>
    <t>TXN100186</t>
  </si>
  <si>
    <t>TXN100187</t>
  </si>
  <si>
    <t>TXN100188</t>
  </si>
  <si>
    <t>TXN100189</t>
  </si>
  <si>
    <t>TXN100190</t>
  </si>
  <si>
    <t>TXN100191</t>
  </si>
  <si>
    <t>TXN100192</t>
  </si>
  <si>
    <t>TXN100193</t>
  </si>
  <si>
    <t>TXN100194</t>
  </si>
  <si>
    <t>TXN100195</t>
  </si>
  <si>
    <t>TXN100196</t>
  </si>
  <si>
    <t>TXN100197</t>
  </si>
  <si>
    <t>TXN100198</t>
  </si>
  <si>
    <t>TXN100199</t>
  </si>
  <si>
    <t>TXN100200</t>
  </si>
  <si>
    <t>TXN100201</t>
  </si>
  <si>
    <t>TXN100202</t>
  </si>
  <si>
    <t>TXN100203</t>
  </si>
  <si>
    <t>TXN100204</t>
  </si>
  <si>
    <t>TXN100205</t>
  </si>
  <si>
    <t>TXN100206</t>
  </si>
  <si>
    <t>TXN100207</t>
  </si>
  <si>
    <t>TXN100208</t>
  </si>
  <si>
    <t>TXN100209</t>
  </si>
  <si>
    <t>TXN100210</t>
  </si>
  <si>
    <t>TXN100211</t>
  </si>
  <si>
    <t>TXN100212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</si>
  <si>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</si>
  <si>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</si>
  <si>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</si>
  <si>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</si>
  <si>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</si>
  <si>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</si>
  <si>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</si>
  <si>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</si>
  <si>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TXN100221</t>
  </si>
  <si>
    <t>TXN100222</t>
  </si>
  <si>
    <t>TXN100223</t>
  </si>
  <si>
    <t>TXN100224</t>
  </si>
  <si>
    <t>TXN100225</t>
  </si>
  <si>
    <t>TXN100226</t>
  </si>
  <si>
    <t>TXN100227</t>
  </si>
  <si>
    <t>TXN100228</t>
  </si>
  <si>
    <t>TXN100229</t>
  </si>
  <si>
    <t>TXN100230</t>
  </si>
  <si>
    <t>TXN100231</t>
  </si>
  <si>
    <t>TXN100232</t>
  </si>
  <si>
    <t>TXN100233</t>
  </si>
  <si>
    <t>TXN100234</t>
  </si>
  <si>
    <t>TXN100235</t>
  </si>
  <si>
    <t>TXN100236</t>
  </si>
  <si>
    <t>TXN100237</t>
  </si>
  <si>
    <t>TXN100238</t>
  </si>
  <si>
    <t>TXN100239</t>
  </si>
  <si>
    <t>TXN100240</t>
  </si>
  <si>
    <t>TXN100241</t>
  </si>
  <si>
    <t>TXN100242</t>
  </si>
  <si>
    <t>TXN100243</t>
  </si>
  <si>
    <t>TXN100244</t>
  </si>
  <si>
    <t>TXN100245</t>
  </si>
  <si>
    <t>TXN100246</t>
  </si>
  <si>
    <t>TXN100247</t>
  </si>
  <si>
    <t>TXN100248</t>
  </si>
  <si>
    <t>TXN100249</t>
  </si>
  <si>
    <t>TXN100250</t>
  </si>
  <si>
    <t>TXN100251</t>
  </si>
  <si>
    <t>TXN100252</t>
  </si>
  <si>
    <t>TXN100253</t>
  </si>
  <si>
    <t>TXN100254</t>
  </si>
  <si>
    <t>TXN100255</t>
  </si>
  <si>
    <t>TXN100256</t>
  </si>
  <si>
    <t>TXN100257</t>
  </si>
  <si>
    <t>TXN100258</t>
  </si>
  <si>
    <t>TXN100259</t>
  </si>
  <si>
    <t>TXN100260</t>
  </si>
  <si>
    <t>TXN100261</t>
  </si>
  <si>
    <t>TXN100262</t>
  </si>
  <si>
    <t>TXN100263</t>
  </si>
  <si>
    <t>TXN100264</t>
  </si>
  <si>
    <t>TXN100265</t>
  </si>
  <si>
    <t>TXN100266</t>
  </si>
  <si>
    <t>TXN100267</t>
  </si>
  <si>
    <t>TXN100268</t>
  </si>
  <si>
    <t>TXN100269</t>
  </si>
  <si>
    <t>TXN100270</t>
  </si>
  <si>
    <t>TXN100271</t>
  </si>
  <si>
    <t>TXN100272</t>
  </si>
  <si>
    <t>TXN100273</t>
  </si>
  <si>
    <t>TXN100274</t>
  </si>
  <si>
    <t>TXN100275</t>
  </si>
  <si>
    <t>TXN100276</t>
  </si>
  <si>
    <t>TXN100277</t>
  </si>
  <si>
    <t>TXN100278</t>
  </si>
  <si>
    <t>TXN100279</t>
  </si>
  <si>
    <t>TXN100280</t>
  </si>
  <si>
    <t>TXN100281</t>
  </si>
  <si>
    <t>TXN100282</t>
  </si>
  <si>
    <t>TXN100283</t>
  </si>
  <si>
    <t>TXN100284</t>
  </si>
  <si>
    <t>TXN100285</t>
  </si>
  <si>
    <t>TXN100286</t>
  </si>
  <si>
    <t>TXN100287</t>
  </si>
  <si>
    <t>TXN100288</t>
  </si>
  <si>
    <t>TXN100289</t>
  </si>
  <si>
    <t>TXN100290</t>
  </si>
  <si>
    <t>TXN100291</t>
  </si>
  <si>
    <t>TXN100292</t>
  </si>
  <si>
    <t>TXN100293</t>
  </si>
  <si>
    <t>TXN100294</t>
  </si>
  <si>
    <t>TXN100295</t>
  </si>
  <si>
    <t>TXN100296</t>
  </si>
  <si>
    <t>TXN100297</t>
  </si>
  <si>
    <t>TXN100298</t>
  </si>
  <si>
    <t>TXN100299</t>
  </si>
  <si>
    <t>TXN100300</t>
  </si>
  <si>
    <t>TXN100301</t>
  </si>
  <si>
    <t>TXN100302</t>
  </si>
  <si>
    <t>TXN100303</t>
  </si>
  <si>
    <t>TXN100304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</si>
  <si>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</si>
  <si>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</si>
  <si>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</si>
  <si>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</si>
  <si>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</si>
  <si>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</si>
  <si>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</si>
  <si>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</si>
  <si>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TXN100313</t>
  </si>
  <si>
    <t>TXN100314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</si>
  <si>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</si>
  <si>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</si>
  <si>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</si>
  <si>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</si>
  <si>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</si>
  <si>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</si>
  <si>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</si>
  <si>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</si>
  <si>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</si>
  <si>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TXN100324</t>
  </si>
  <si>
    <t>TXN100325</t>
  </si>
  <si>
    <t>TXN100326</t>
  </si>
  <si>
    <t>TXN100327</t>
  </si>
  <si>
    <t>TXN100328</t>
  </si>
  <si>
    <t>TXN100329</t>
  </si>
  <si>
    <t>TXN100330</t>
  </si>
  <si>
    <t>TXN100331</t>
  </si>
  <si>
    <t>TXN100332</t>
  </si>
  <si>
    <t>TXN100333</t>
  </si>
  <si>
    <t>TXN100334</t>
  </si>
  <si>
    <t>TXN100335</t>
  </si>
  <si>
    <t>TXN100336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</si>
  <si>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</si>
  <si>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</si>
  <si>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</si>
  <si>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</si>
  <si>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</si>
  <si>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</si>
  <si>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</si>
  <si>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</si>
  <si>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</si>
  <si>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</si>
  <si>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</si>
  <si>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</si>
  <si>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</si>
  <si>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TXN100350</t>
  </si>
  <si>
    <t>TXN100351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</si>
  <si>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</si>
  <si>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</si>
  <si>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</si>
  <si>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</si>
  <si>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</si>
  <si>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</si>
  <si>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</si>
  <si>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</si>
  <si>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TXN100360</t>
  </si>
  <si>
    <t>TXN100361</t>
  </si>
  <si>
    <t>TXN100362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</si>
  <si>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</si>
  <si>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</si>
  <si>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</si>
  <si>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</si>
  <si>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</si>
  <si>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</si>
  <si>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</si>
  <si>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TXN100370</t>
  </si>
  <si>
    <t>TXN100371</t>
  </si>
  <si>
    <t>TXN100372</t>
  </si>
  <si>
    <t>TXN100373</t>
  </si>
  <si>
    <t>TXN100374</t>
  </si>
  <si>
    <t>TXN100375</t>
  </si>
  <si>
    <t>TXN100376</t>
  </si>
  <si>
    <t>TXN100377</t>
  </si>
  <si>
    <t>TXN100378</t>
  </si>
  <si>
    <t>TXN100379</t>
  </si>
  <si>
    <t>TXN100380</t>
  </si>
  <si>
    <t>TXN100381</t>
  </si>
  <si>
    <t>TXN100382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</si>
  <si>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</si>
  <si>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</si>
  <si>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</si>
  <si>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</si>
  <si>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</si>
  <si>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</si>
  <si>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</si>
  <si>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</si>
  <si>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</si>
  <si>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</si>
  <si>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TXN100393</t>
  </si>
  <si>
    <t>TXN100394</t>
  </si>
  <si>
    <t>TXN100395</t>
  </si>
  <si>
    <t>TXN100396</t>
  </si>
  <si>
    <t>TXN100397</t>
  </si>
  <si>
    <t>TXN100398</t>
  </si>
  <si>
    <t>TXN100399</t>
  </si>
  <si>
    <t>TXN100400</t>
  </si>
  <si>
    <t>TXN100401</t>
  </si>
  <si>
    <t>TXN100402</t>
  </si>
  <si>
    <t>TXN100403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</si>
  <si>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</si>
  <si>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</si>
  <si>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</si>
  <si>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</si>
  <si>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</si>
  <si>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</si>
  <si>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</si>
  <si>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</si>
  <si>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</si>
  <si>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</si>
  <si>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</si>
  <si>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</si>
  <si>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</si>
  <si>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</si>
  <si>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</si>
  <si>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</si>
  <si>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</si>
  <si>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</si>
  <si>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</si>
  <si>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</si>
  <si>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</si>
  <si>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</si>
  <si>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</si>
  <si>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</si>
  <si>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</si>
  <si>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</si>
  <si>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</si>
  <si>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</si>
  <si>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TXN100432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</si>
  <si>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</si>
  <si>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</si>
  <si>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</si>
  <si>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</si>
  <si>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</si>
  <si>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</si>
  <si>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</si>
  <si>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</si>
  <si>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</si>
  <si>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</si>
  <si>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</si>
  <si>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</si>
  <si>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</si>
  <si>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</si>
  <si>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</si>
  <si>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</si>
  <si>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</si>
  <si>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</si>
  <si>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</si>
  <si>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</si>
  <si>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</si>
  <si>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</si>
  <si>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</si>
  <si>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</si>
  <si>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</si>
  <si>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</si>
  <si>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</si>
  <si>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</si>
  <si>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</si>
  <si>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</si>
  <si>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</si>
  <si>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</si>
  <si>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</si>
  <si>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</si>
  <si>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</si>
  <si>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</si>
  <si>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</si>
  <si>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</si>
  <si>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TXN100471</t>
  </si>
  <si>
    <t>TXN100472</t>
  </si>
  <si>
    <t>TXN100473</t>
  </si>
  <si>
    <t>TXN100474</t>
  </si>
  <si>
    <t>TXN100475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</si>
  <si>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</si>
  <si>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</si>
  <si>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</si>
  <si>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</si>
  <si>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</si>
  <si>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</si>
  <si>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</si>
  <si>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</si>
  <si>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</si>
  <si>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</si>
  <si>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</si>
  <si>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</si>
  <si>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</si>
  <si>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</si>
  <si>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</si>
  <si>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</si>
  <si>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</si>
  <si>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</si>
  <si>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</si>
  <si>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</si>
  <si>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</si>
  <si>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</si>
  <si>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</si>
  <si>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TXN100499</t>
  </si>
  <si>
    <t>TXN200000</t>
  </si>
  <si>
    <t>TXN200001</t>
  </si>
  <si>
    <t>TXN200002</t>
  </si>
  <si>
    <t>TXN200003</t>
  </si>
  <si>
    <t>TXN200004</t>
  </si>
  <si>
    <t>TXN200005</t>
  </si>
  <si>
    <t>TXN200006</t>
  </si>
  <si>
    <t>TXN200007</t>
  </si>
  <si>
    <t>TXN200008</t>
  </si>
  <si>
    <t>TXN200009</t>
  </si>
  <si>
    <t>TXN200010</t>
  </si>
  <si>
    <t>TXN200011</t>
  </si>
  <si>
    <t>TXN200012</t>
  </si>
  <si>
    <t>TXN200013</t>
  </si>
  <si>
    <t>TXN200014</t>
  </si>
  <si>
    <t>TXN300000</t>
  </si>
  <si>
    <t>TXN300001</t>
  </si>
  <si>
    <t>TXN300002</t>
  </si>
  <si>
    <t>TXN300003</t>
  </si>
  <si>
    <t>TXN300004</t>
  </si>
  <si>
    <t>TXN300005</t>
  </si>
  <si>
    <t>TXN300006</t>
  </si>
  <si>
    <t>TXN300007</t>
  </si>
  <si>
    <t>TXN300008</t>
  </si>
  <si>
    <t>TXN300009</t>
  </si>
  <si>
    <t>TXN300010</t>
  </si>
  <si>
    <t>TXN300011</t>
  </si>
  <si>
    <t>TXN300012</t>
  </si>
  <si>
    <t>TXN300013</t>
  </si>
  <si>
    <t>TXN300014</t>
  </si>
  <si>
    <t>TXN300015</t>
  </si>
  <si>
    <t>TXN300016</t>
  </si>
  <si>
    <t>TXN300017</t>
  </si>
  <si>
    <t>TXN300018</t>
  </si>
  <si>
    <t>TXN300019</t>
  </si>
  <si>
    <t>TXN300020</t>
  </si>
  <si>
    <t>TXN300021</t>
  </si>
  <si>
    <t>TXN300022</t>
  </si>
  <si>
    <t>TXN300023</t>
  </si>
  <si>
    <t>TXN300024</t>
  </si>
  <si>
    <t>TXN300025</t>
  </si>
  <si>
    <t>TXN300026</t>
  </si>
  <si>
    <t>TXN300027</t>
  </si>
  <si>
    <t>TXN300028</t>
  </si>
  <si>
    <t>TXN300029</t>
  </si>
  <si>
    <t>TXN300030</t>
  </si>
  <si>
    <t>TXN300031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</si>
</sst>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dd/MM/yyyy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sz val="11.0"/>
      <color rgb="FF415173"/>
      <name val="Inte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2" numFmtId="0" xfId="0" applyAlignment="1" applyFont="1">
      <alignment vertical="bottom"/>
    </xf>
    <xf borderId="0" fillId="2" fontId="3" numFmtId="0" xfId="0" applyFill="1" applyFont="1"/>
    <xf borderId="0" fillId="0" fontId="2" numFmtId="0" xfId="0" applyAlignment="1" applyFont="1">
      <alignment horizontal="right" vertical="bottom"/>
    </xf>
    <xf borderId="0" fillId="0" fontId="2" numFmtId="10" xfId="0" applyFont="1" applyNumberFormat="1"/>
    <xf borderId="0" fillId="0" fontId="2" numFmtId="9" xfId="0" applyFont="1" applyNumberFormat="1"/>
    <xf borderId="0" fillId="0" fontId="2" numFmtId="0" xfId="0" applyFont="1"/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548" sheet="transactions-view"/>
  </cacheSource>
  <cacheFields>
    <cacheField name="transaction_id" numFmtId="0">
      <sharedItems>
        <s v="TXN100000"/>
        <s v="TXN100001"/>
        <s v="TXN100002"/>
        <s v="TXN100003"/>
        <s v="TXN100004"/>
        <s v="TXN100005"/>
        <s v="TXN100006"/>
        <s v="TXN100007"/>
        <s v="TXN100008"/>
        <s v="TXN100009"/>
        <s v="TXN100010"/>
        <s v="TXN100011"/>
        <s v="TXN100012"/>
        <s v="TXN100013"/>
        <s v="TXN100014"/>
        <s v="TXN100015"/>
        <s v="TXN100016"/>
        <s v="TXN100017"/>
        <s v="TXN100018"/>
        <s v="TXN100019"/>
        <s v="TXN100020"/>
        <s v="TXN100021"/>
        <s v="TXN100022"/>
        <s v="TXN100023"/>
        <s v="TXN100024"/>
        <s v="TXN100025"/>
        <s v="TXN100026"/>
        <s v="TXN100027"/>
        <s v="TXN100028"/>
        <s v="TXN100029"/>
        <s v="TXN100030"/>
        <s v="TXN100031"/>
        <s v="TXN100032"/>
        <s v="TXN100033"/>
        <s v="TXN100034"/>
        <s v="TXN100035"/>
        <s v="TXN100036"/>
        <s v="TXN100037"/>
        <s v="TXN100038"/>
        <s v="TXN100039"/>
        <s v="TXN100040"/>
        <s v="TXN100041"/>
        <s v="TXN100042"/>
        <s v="TXN100043"/>
        <s v="TXN100044"/>
        <s v="TXN100045"/>
        <s v="TXN100046"/>
        <s v="TXN100047"/>
        <s v="TXN100048"/>
        <s v="TXN100049"/>
        <s v="TXN100050"/>
        <s v="TXN100051"/>
        <s v="TXN100052"/>
        <s v="TXN100053"/>
        <s v="TXN100054"/>
        <s v="TXN100055"/>
        <s v="TXN100056"/>
        <s v="TXN100057"/>
        <s v="TXN100058"/>
        <s v="TXN100059"/>
        <s v="TXN100060"/>
        <s v="TXN100061"/>
        <s v="TXN100062"/>
        <s v="TXN100063"/>
        <s v="TXN100064"/>
        <s v="TXN100065"/>
        <s v="TXN100066"/>
        <s v="TXN100067"/>
        <s v="TXN100068"/>
        <s v="TXN100069"/>
        <s v="TXN100070"/>
        <s v="TXN100071"/>
        <s v="TXN100072"/>
        <s v="TXN100073"/>
        <s v="TXN100074"/>
        <s v="TXN100075"/>
        <s v="TXN100076"/>
        <s v="TXN100077"/>
        <s v="TXN100078"/>
        <s v="TXN100079"/>
        <s v="TXN100080"/>
        <s v="TXN100081"/>
        <s v="TXN100082"/>
        <s v="TXN100083"/>
        <s v="TXN100084"/>
        <s v="TXN100085"/>
        <s v="TXN100086"/>
        <s v="TXN100087"/>
        <s v="TXN100088"/>
        <s v="TXN100089"/>
        <s v="TXN100090"/>
        <s v="TXN100091"/>
        <s v="TXN100092"/>
        <s v="TXN100093"/>
        <s v="TXN100094"/>
        <s v="TXN100095"/>
        <s v="TXN100096"/>
        <s v="TXN100097"/>
        <s v="TXN100098"/>
        <s v="TXN100099"/>
        <s v="TXN100100"/>
        <s v="TXN100101"/>
        <s v="TXN100102"/>
        <s v="TXN100103"/>
        <s v="TXN100104"/>
        <s v="TXN100105"/>
        <s v="TXN100106"/>
        <s v="TXN100107"/>
        <s v="TXN100108"/>
        <s v="TXN100109"/>
        <s v="TXN100110"/>
        <s v="TXN100111"/>
        <s v="TXN100112"/>
        <s v="TXN100113"/>
        <s v="TXN100114"/>
        <s v="TXN100115"/>
        <s v="TXN100116"/>
        <s v="TXN100117"/>
        <s v="TXN100118"/>
        <s v="TXN100119"/>
        <s v="TXN100120"/>
        <s v="TXN100121"/>
        <s v="TXN100122"/>
        <s v="TXN100123"/>
        <s v="TXN100124"/>
        <s v="TXN100125"/>
        <s v="TXN100126"/>
        <s v="TXN100127"/>
        <s v="TXN100128"/>
        <s v="TXN100129"/>
        <s v="TXN100130"/>
        <s v="TXN100131"/>
        <s v="TXN100132"/>
        <s v="TXN100133"/>
        <s v="TXN100134"/>
        <s v="TXN100135"/>
        <s v="TXN100136"/>
        <s v="TXN100137"/>
        <s v="TXN100138"/>
        <s v="TXN100139"/>
        <s v="TXN100140"/>
        <s v="TXN100141"/>
        <s v="TXN100142"/>
        <s v="TXN100143"/>
        <s v="TXN100144"/>
        <s v="TXN100145"/>
        <s v="TXN100146"/>
        <s v="TXN100147"/>
        <s v="TXN100148"/>
        <s v="TXN100149"/>
        <s v="TXN100150"/>
        <s v="TXN100151"/>
        <s v="TXN100152"/>
        <s v="TXN100153"/>
        <s v="TXN100154"/>
        <s v="TXN100155"/>
        <s v="TXN100156"/>
        <s v="TXN100157"/>
        <s v="TXN100158"/>
        <s v="TXN100159"/>
        <s v="TXN100160"/>
        <s v="TXN100161"/>
        <s v="TXN100162"/>
        <s v="TXN100163"/>
        <s v="TXN100164"/>
        <s v="TXN100165"/>
        <s v="TXN100166"/>
        <s v="TXN100167"/>
        <s v="TXN100168"/>
        <s v="TXN100169"/>
        <s v="TXN100170"/>
        <s v="TXN100171"/>
        <s v="TXN100172"/>
        <s v="TXN100173"/>
        <s v="TXN100174"/>
        <s v="TXN100175"/>
        <s v="TXN100176"/>
        <s v="TXN100177"/>
        <s v="TXN100178"/>
        <s v="TXN100179"/>
        <s v="TXN100180"/>
        <s v="TXN100181"/>
        <s v="TXN100182"/>
        <s v="TXN100183"/>
        <s v="TXN100184"/>
        <s v="TXN100185"/>
        <s v="TXN100186"/>
        <s v="TXN100187"/>
        <s v="TXN100188"/>
        <s v="TXN100189"/>
        <s v="TXN100190"/>
        <s v="TXN100191"/>
        <s v="TXN100192"/>
        <s v="TXN100193"/>
        <s v="TXN100194"/>
        <s v="TXN100195"/>
        <s v="TXN100196"/>
        <s v="TXN100197"/>
        <s v="TXN100198"/>
        <s v="TXN100199"/>
        <s v="TXN100200"/>
        <s v="TXN100201"/>
        <s v="TXN100202"/>
        <s v="TXN100203"/>
        <s v="TXN100204"/>
        <s v="TXN100205"/>
        <s v="TXN100206"/>
        <s v="TXN100207"/>
        <s v="TXN100208"/>
        <s v="TXN100209"/>
        <s v="TXN100210"/>
        <s v="TXN100211"/>
        <s v="TXN100212"/>
        <s v="TXN100213"/>
        <s v="TXN100214"/>
        <s v="TXN100215"/>
        <s v="TXN100216"/>
        <s v="TXN100217"/>
        <s v="TXN100218"/>
        <s v="TXN100219"/>
        <s v="TXN100220"/>
        <s v="TXN100221"/>
        <s v="TXN100222"/>
        <s v="TXN100223"/>
        <s v="TXN100224"/>
        <s v="TXN100225"/>
        <s v="TXN100226"/>
        <s v="TXN100227"/>
        <s v="TXN100228"/>
        <s v="TXN100229"/>
        <s v="TXN100230"/>
        <s v="TXN100231"/>
        <s v="TXN100232"/>
        <s v="TXN100233"/>
        <s v="TXN100234"/>
        <s v="TXN100235"/>
        <s v="TXN100236"/>
        <s v="TXN100237"/>
        <s v="TXN100238"/>
        <s v="TXN100239"/>
        <s v="TXN100240"/>
        <s v="TXN100241"/>
        <s v="TXN100242"/>
        <s v="TXN100243"/>
        <s v="TXN100244"/>
        <s v="TXN100245"/>
        <s v="TXN100246"/>
        <s v="TXN100247"/>
        <s v="TXN100248"/>
        <s v="TXN100249"/>
        <s v="TXN100250"/>
        <s v="TXN100251"/>
        <s v="TXN100252"/>
        <s v="TXN100253"/>
        <s v="TXN100254"/>
        <s v="TXN100255"/>
        <s v="TXN100256"/>
        <s v="TXN100257"/>
        <s v="TXN100258"/>
        <s v="TXN100259"/>
        <s v="TXN100260"/>
        <s v="TXN100261"/>
        <s v="TXN100262"/>
        <s v="TXN100263"/>
        <s v="TXN100264"/>
        <s v="TXN100265"/>
        <s v="TXN100266"/>
        <s v="TXN100267"/>
        <s v="TXN100268"/>
        <s v="TXN100269"/>
        <s v="TXN100270"/>
        <s v="TXN100271"/>
        <s v="TXN100272"/>
        <s v="TXN100273"/>
        <s v="TXN100274"/>
        <s v="TXN100275"/>
        <s v="TXN100276"/>
        <s v="TXN100277"/>
        <s v="TXN100278"/>
        <s v="TXN100279"/>
        <s v="TXN100280"/>
        <s v="TXN100281"/>
        <s v="TXN100282"/>
        <s v="TXN100283"/>
        <s v="TXN100284"/>
        <s v="TXN100285"/>
        <s v="TXN100286"/>
        <s v="TXN100287"/>
        <s v="TXN100288"/>
        <s v="TXN100289"/>
        <s v="TXN100290"/>
        <s v="TXN100291"/>
        <s v="TXN100292"/>
        <s v="TXN100293"/>
        <s v="TXN100294"/>
        <s v="TXN100295"/>
        <s v="TXN100296"/>
        <s v="TXN100297"/>
        <s v="TXN100298"/>
        <s v="TXN100299"/>
        <s v="TXN100300"/>
        <s v="TXN100301"/>
        <s v="TXN100302"/>
        <s v="TXN100303"/>
        <s v="TXN100304"/>
        <s v="TXN100305"/>
        <s v="TXN100306"/>
        <s v="TXN100307"/>
        <s v="TXN100308"/>
        <s v="TXN100309"/>
        <s v="TXN100310"/>
        <s v="TXN100311"/>
        <s v="TXN100312"/>
        <s v="TXN100313"/>
        <s v="TXN100314"/>
        <s v="TXN100315"/>
        <s v="TXN100316"/>
        <s v="TXN100317"/>
        <s v="TXN100318"/>
        <s v="TXN100319"/>
        <s v="TXN100320"/>
        <s v="TXN100321"/>
        <s v="TXN100322"/>
        <s v="TXN100323"/>
        <s v="TXN100324"/>
        <s v="TXN100325"/>
        <s v="TXN100326"/>
        <s v="TXN100327"/>
        <s v="TXN100328"/>
        <s v="TXN100329"/>
        <s v="TXN100330"/>
        <s v="TXN100331"/>
        <s v="TXN100332"/>
        <s v="TXN100333"/>
        <s v="TXN100334"/>
        <s v="TXN100335"/>
        <s v="TXN100336"/>
        <s v="TXN100337"/>
        <s v="TXN100338"/>
        <s v="TXN100339"/>
        <s v="TXN100340"/>
        <s v="TXN100341"/>
        <s v="TXN100342"/>
        <s v="TXN100343"/>
        <s v="TXN100344"/>
        <s v="TXN100345"/>
        <s v="TXN100346"/>
        <s v="TXN100347"/>
        <s v="TXN100348"/>
        <s v="TXN100349"/>
        <s v="TXN100350"/>
        <s v="TXN100351"/>
        <s v="TXN100352"/>
        <s v="TXN100353"/>
        <s v="TXN100354"/>
        <s v="TXN100355"/>
        <s v="TXN100356"/>
        <s v="TXN100357"/>
        <s v="TXN100358"/>
        <s v="TXN100359"/>
        <s v="TXN100360"/>
        <s v="TXN100361"/>
        <s v="TXN100362"/>
        <s v="TXN100363"/>
        <s v="TXN100364"/>
        <s v="TXN100365"/>
        <s v="TXN100366"/>
        <s v="TXN100367"/>
        <s v="TXN100368"/>
        <s v="TXN100369"/>
        <s v="TXN100370"/>
        <s v="TXN100371"/>
        <s v="TXN100372"/>
        <s v="TXN100373"/>
        <s v="TXN100374"/>
        <s v="TXN100375"/>
        <s v="TXN100376"/>
        <s v="TXN100377"/>
        <s v="TXN100378"/>
        <s v="TXN100379"/>
        <s v="TXN100380"/>
        <s v="TXN100381"/>
        <s v="TXN100382"/>
        <s v="TXN100383"/>
        <s v="TXN100384"/>
        <s v="TXN100385"/>
        <s v="TXN100386"/>
        <s v="TXN100387"/>
        <s v="TXN100388"/>
        <s v="TXN100389"/>
        <s v="TXN100390"/>
        <s v="TXN100391"/>
        <s v="TXN100392"/>
        <s v="TXN100393"/>
        <s v="TXN100394"/>
        <s v="TXN100395"/>
        <s v="TXN100396"/>
        <s v="TXN100397"/>
        <s v="TXN100398"/>
        <s v="TXN100399"/>
        <s v="TXN100400"/>
        <s v="TXN100401"/>
        <s v="TXN100402"/>
        <s v="TXN100403"/>
        <s v="TXN100404"/>
        <s v="TXN100405"/>
        <s v="TXN100406"/>
        <s v="TXN100407"/>
        <s v="TXN100408"/>
        <s v="TXN100409"/>
        <s v="TXN100410"/>
        <s v="TXN100411"/>
        <s v="TXN100412"/>
        <s v="TXN100413"/>
        <s v="TXN100414"/>
        <s v="TXN100415"/>
        <s v="TXN100416"/>
        <s v="TXN100417"/>
        <s v="TXN100418"/>
        <s v="TXN100419"/>
        <s v="TXN100420"/>
        <s v="TXN100421"/>
        <s v="TXN100422"/>
        <s v="TXN100423"/>
        <s v="TXN100424"/>
        <s v="TXN100425"/>
        <s v="TXN100426"/>
        <s v="TXN100427"/>
        <s v="TXN100428"/>
        <s v="TXN100429"/>
        <s v="TXN100430"/>
        <s v="TXN100431"/>
        <s v="TXN100432"/>
        <s v="TXN100433"/>
        <s v="TXN100434"/>
        <s v="TXN100435"/>
        <s v="TXN100436"/>
        <s v="TXN100437"/>
        <s v="TXN100438"/>
        <s v="TXN100439"/>
        <s v="TXN100440"/>
        <s v="TXN100441"/>
        <s v="TXN100442"/>
        <s v="TXN100443"/>
        <s v="TXN100444"/>
        <s v="TXN100445"/>
        <s v="TXN100446"/>
        <s v="TXN100447"/>
        <s v="TXN100448"/>
        <s v="TXN100449"/>
        <s v="TXN100450"/>
        <s v="TXN100451"/>
        <s v="TXN100452"/>
        <s v="TXN100453"/>
        <s v="TXN100454"/>
        <s v="TXN100455"/>
        <s v="TXN100456"/>
        <s v="TXN100457"/>
        <s v="TXN100458"/>
        <s v="TXN100459"/>
        <s v="TXN100460"/>
        <s v="TXN100461"/>
        <s v="TXN100462"/>
        <s v="TXN100463"/>
        <s v="TXN100464"/>
        <s v="TXN100465"/>
        <s v="TXN100466"/>
        <s v="TXN100467"/>
        <s v="TXN100468"/>
        <s v="TXN100469"/>
        <s v="TXN100470"/>
        <s v="TXN100471"/>
        <s v="TXN100472"/>
        <s v="TXN100473"/>
        <s v="TXN100474"/>
        <s v="TXN100475"/>
        <s v="TXN100476"/>
        <s v="TXN100477"/>
        <s v="TXN100478"/>
        <s v="TXN100479"/>
        <s v="TXN100480"/>
        <s v="TXN100481"/>
        <s v="TXN100482"/>
        <s v="TXN100483"/>
        <s v="TXN100484"/>
        <s v="TXN100485"/>
        <s v="TXN100486"/>
        <s v="TXN100487"/>
        <s v="TXN100488"/>
        <s v="TXN100489"/>
        <s v="TXN100490"/>
        <s v="TXN100491"/>
        <s v="TXN100492"/>
        <s v="TXN100493"/>
        <s v="TXN100494"/>
        <s v="TXN100495"/>
        <s v="TXN100496"/>
        <s v="TXN100497"/>
        <s v="TXN100498"/>
        <s v="TXN100499"/>
        <s v="TXN200000"/>
        <s v="TXN200001"/>
        <s v="TXN200002"/>
        <s v="TXN200003"/>
        <s v="TXN200004"/>
        <s v="TXN200005"/>
        <s v="TXN200006"/>
        <s v="TXN200007"/>
        <s v="TXN200008"/>
        <s v="TXN200009"/>
        <s v="TXN200010"/>
        <s v="TXN200011"/>
        <s v="TXN200012"/>
        <s v="TXN200013"/>
        <s v="TXN200014"/>
        <s v="TXN300000"/>
        <s v="TXN300001"/>
        <s v="TXN300002"/>
        <s v="TXN300003"/>
        <s v="TXN300004"/>
        <s v="TXN300005"/>
        <s v="TXN300006"/>
        <s v="TXN300007"/>
        <s v="TXN300008"/>
        <s v="TXN300009"/>
        <s v="TXN300010"/>
        <s v="TXN300011"/>
        <s v="TXN300012"/>
        <s v="TXN300013"/>
        <s v="TXN300014"/>
        <s v="TXN300015"/>
        <s v="TXN300016"/>
        <s v="TXN300017"/>
        <s v="TXN300018"/>
        <s v="TXN300019"/>
        <s v="TXN300020"/>
        <s v="TXN300021"/>
        <s v="TXN300022"/>
        <s v="TXN300023"/>
        <s v="TXN300024"/>
        <s v="TXN300025"/>
        <s v="TXN300026"/>
        <s v="TXN300027"/>
        <s v="TXN300028"/>
        <s v="TXN300029"/>
        <s v="TXN300030"/>
        <s v="TXN300031"/>
      </sharedItems>
    </cacheField>
    <cacheField name="user_id" numFmtId="0">
      <sharedItems containsSemiMixedTypes="0" containsString="0" containsNumber="1" containsInteger="1">
        <n v="350.0"/>
        <n v="287.0"/>
        <n v="122.0"/>
        <n v="92.0"/>
        <n v="343.0"/>
        <n v="196.0"/>
        <n v="236.0"/>
        <n v="13.0"/>
        <n v="36.0"/>
        <n v="348.0"/>
        <n v="134.0"/>
        <n v="306.0"/>
        <n v="311.0"/>
        <n v="131.0"/>
        <n v="276.0"/>
        <n v="170.0"/>
        <n v="154.0"/>
        <n v="207.0"/>
        <n v="341.0"/>
        <n v="292.0"/>
        <n v="147.0"/>
        <n v="336.0"/>
        <n v="110.0"/>
        <n v="338.0"/>
        <n v="318.0"/>
        <n v="159.0"/>
        <n v="126.0"/>
        <n v="213.0"/>
        <n v="254.0"/>
        <n v="3.0"/>
        <n v="266.0"/>
        <n v="63.0"/>
        <n v="272.0"/>
        <n v="259.0"/>
        <n v="244.0"/>
        <n v="327.0"/>
        <n v="321.0"/>
        <n v="277.0"/>
        <n v="79.0"/>
        <n v="278.0"/>
        <n v="216.0"/>
        <n v="295.0"/>
        <n v="200.0"/>
        <n v="309.0"/>
        <n v="249.0"/>
        <n v="208.0"/>
        <n v="274.0"/>
        <n v="14.0"/>
        <n v="237.0"/>
        <n v="109.0"/>
        <n v="334.0"/>
        <n v="11.0"/>
        <n v="132.0"/>
        <n v="59.0"/>
        <n v="160.0"/>
        <n v="102.0"/>
        <n v="53.0"/>
        <n v="290.0"/>
        <n v="190.0"/>
        <n v="248.0"/>
        <n v="138.0"/>
        <n v="231.0"/>
        <n v="167.0"/>
        <n v="133.0"/>
        <n v="142.0"/>
        <n v="124.0"/>
        <n v="151.0"/>
        <n v="340.0"/>
        <n v="177.0"/>
        <n v="233.0"/>
        <n v="99.0"/>
        <n v="95.0"/>
        <n v="302.0"/>
        <n v="100.0"/>
        <n v="8.0"/>
        <n v="284.0"/>
        <n v="252.0"/>
        <n v="246.0"/>
        <n v="245.0"/>
        <n v="296.0"/>
        <n v="44.0"/>
        <n v="157.0"/>
        <n v="51.0"/>
        <n v="42.0"/>
        <n v="81.0"/>
        <n v="241.0"/>
        <n v="145.0"/>
        <n v="136.0"/>
        <n v="137.0"/>
        <n v="158.0"/>
        <n v="148.0"/>
        <n v="166.0"/>
        <n v="346.0"/>
        <n v="326.0"/>
        <n v="171.0"/>
        <n v="211.0"/>
        <n v="282.0"/>
        <n v="1.0"/>
        <n v="227.0"/>
        <n v="323.0"/>
        <n v="283.0"/>
        <n v="150.0"/>
        <n v="197.0"/>
        <n v="70.0"/>
        <n v="260.0"/>
        <n v="301.0"/>
        <n v="279.0"/>
        <n v="97.0"/>
        <n v="52.0"/>
        <n v="74.0"/>
        <n v="163.0"/>
        <n v="121.0"/>
        <n v="15.0"/>
        <n v="184.0"/>
        <n v="90.0"/>
        <n v="119.0"/>
        <n v="342.0"/>
        <n v="280.0"/>
        <n v="155.0"/>
        <n v="152.0"/>
        <n v="21.0"/>
        <n v="187.0"/>
        <n v="188.0"/>
        <n v="85.0"/>
        <n v="174.0"/>
        <n v="116.0"/>
        <n v="203.0"/>
        <n v="189.0"/>
        <n v="56.0"/>
        <n v="288.0"/>
        <n v="60.0"/>
        <n v="199.0"/>
        <n v="17.0"/>
        <n v="186.0"/>
        <n v="331.0"/>
        <n v="328.0"/>
        <n v="65.0"/>
        <n v="230.0"/>
        <n v="258.0"/>
        <n v="32.0"/>
        <n v="312.0"/>
        <n v="325.0"/>
        <n v="221.0"/>
        <n v="161.0"/>
        <n v="222.0"/>
        <n v="67.0"/>
        <n v="169.0"/>
        <n v="217.0"/>
        <n v="54.0"/>
        <n v="247.0"/>
        <n v="337.0"/>
        <n v="16.0"/>
        <n v="215.0"/>
        <n v="140.0"/>
        <n v="250.0"/>
        <n v="62.0"/>
        <n v="224.0"/>
        <n v="262.0"/>
        <n v="179.0"/>
        <n v="76.0"/>
        <n v="89.0"/>
        <n v="91.0"/>
        <n v="297.0"/>
        <n v="78.0"/>
        <n v="156.0"/>
        <n v="38.0"/>
        <n v="305.0"/>
        <n v="22.0"/>
        <n v="310.0"/>
        <n v="269.0"/>
        <n v="307.0"/>
        <n v="130.0"/>
        <n v="66.0"/>
        <n v="261.0"/>
        <n v="71.0"/>
        <n v="317.0"/>
        <n v="93.0"/>
        <n v="313.0"/>
        <n v="103.0"/>
        <n v="329.0"/>
        <n v="265.0"/>
        <n v="114.0"/>
        <n v="28.0"/>
        <n v="242.0"/>
        <n v="316.0"/>
        <n v="77.0"/>
        <n v="57.0"/>
        <n v="123.0"/>
        <n v="33.0"/>
        <n v="324.0"/>
        <n v="293.0"/>
        <n v="183.0"/>
        <n v="322.0"/>
        <n v="330.0"/>
        <n v="235.0"/>
        <n v="204.0"/>
        <n v="332.0"/>
        <n v="205.0"/>
        <n v="255.0"/>
        <n v="218.0"/>
        <n v="86.0"/>
        <n v="181.0"/>
        <n v="30.0"/>
        <n v="263.0"/>
        <n v="225.0"/>
        <n v="228.0"/>
        <n v="229.0"/>
        <n v="164.0"/>
        <n v="149.0"/>
        <n v="185.0"/>
        <n v="94.0"/>
        <n v="64.0"/>
        <n v="41.0"/>
        <n v="289.0"/>
        <n v="153.0"/>
        <n v="226.0"/>
        <n v="82.0"/>
        <n v="26.0"/>
        <n v="69.0"/>
        <n v="24.0"/>
        <n v="20.0"/>
        <n v="234.0"/>
        <n v="168.0"/>
        <n v="251.0"/>
        <n v="195.0"/>
        <n v="314.0"/>
        <n v="273.0"/>
        <n v="349.0"/>
        <n v="143.0"/>
        <n v="335.0"/>
        <n v="46.0"/>
        <n v="19.0"/>
        <n v="55.0"/>
        <n v="173.0"/>
        <n v="206.0"/>
        <n v="128.0"/>
        <n v="6.0"/>
        <n v="281.0"/>
        <n v="106.0"/>
        <n v="29.0"/>
        <n v="112.0"/>
        <n v="194.0"/>
        <n v="115.0"/>
        <n v="345.0"/>
        <n v="118.0"/>
        <n v="315.0"/>
        <n v="25.0"/>
        <n v="120.0"/>
        <n v="165.0"/>
        <n v="267.0"/>
        <n v="286.0"/>
        <n v="214.0"/>
        <n v="105.0"/>
        <n v="239.0"/>
        <n v="39.0"/>
        <n v="4.0"/>
        <n v="182.0"/>
        <n v="88.0"/>
        <n v="291.0"/>
        <n v="144.0"/>
        <n v="162.0"/>
        <n v="178.0"/>
        <n v="139.0"/>
        <n v="125.0"/>
        <n v="87.0"/>
        <n v="75.0"/>
        <n v="127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73.0"/>
      </sharedItems>
    </cacheField>
    <cacheField name="merchant_id" numFmtId="0">
      <sharedItems containsSemiMixedTypes="0" containsString="0" containsNumber="1" containsInteger="1">
        <n v="16.0"/>
        <n v="27.0"/>
        <n v="11.0"/>
        <n v="22.0"/>
        <n v="3.0"/>
        <n v="23.0"/>
        <n v="13.0"/>
        <n v="18.0"/>
        <n v="35.0"/>
        <n v="12.0"/>
        <n v="28.0"/>
        <n v="33.0"/>
        <n v="40.0"/>
        <n v="19.0"/>
        <n v="25.0"/>
        <n v="20.0"/>
        <n v="14.0"/>
        <n v="21.0"/>
        <n v="6.0"/>
        <n v="15.0"/>
        <n v="31.0"/>
        <n v="37.0"/>
        <n v="26.0"/>
        <n v="7.0"/>
        <n v="30.0"/>
        <n v="36.0"/>
        <n v="29.0"/>
        <n v="2.0"/>
        <n v="17.0"/>
        <n v="4.0"/>
        <n v="8.0"/>
        <n v="24.0"/>
        <n v="5.0"/>
        <n v="32.0"/>
        <n v="10.0"/>
        <n v="38.0"/>
        <n v="34.0"/>
        <n v="1.0"/>
        <n v="39.0"/>
        <n v="9.0"/>
      </sharedItems>
    </cacheField>
    <cacheField name="transaction_time" numFmtId="164">
      <sharedItems containsSemiMixedTypes="0" containsDate="1" containsString="0">
        <d v="2026-01-29T11:13:00Z"/>
        <d v="2026-01-04T11:49:00Z"/>
        <d v="2026-01-24T04:59:00Z"/>
        <d v="2026-01-29T13:01:00Z"/>
        <d v="2026-01-30T13:51:00Z"/>
        <d v="2026-01-06T22:06:00Z"/>
        <d v="2026-01-08T06:52:00Z"/>
        <d v="2026-01-27T07:14:00Z"/>
        <d v="2026-01-11T08:55:00Z"/>
        <d v="2026-01-21T16:25:00Z"/>
        <d v="2026-01-01T03:56:00Z"/>
        <d v="2026-01-09T01:06:00Z"/>
        <d v="2026-01-24T10:27:00Z"/>
        <d v="2026-01-13T18:12:00Z"/>
        <d v="2026-01-14T00:33:00Z"/>
        <d v="2026-01-14T02:42:00Z"/>
        <d v="2026-01-22T03:46:00Z"/>
        <d v="2026-01-22T13:20:00Z"/>
        <d v="2026-01-05T06:26:00Z"/>
        <d v="2026-01-24T05:39:00Z"/>
        <d v="2026-01-18T00:19:00Z"/>
        <d v="2026-01-26T18:38:00Z"/>
        <d v="2026-01-15T14:43:00Z"/>
        <d v="2026-01-26T23:10:00Z"/>
        <d v="2026-01-17T21:40:00Z"/>
        <d v="2026-01-27T07:43:00Z"/>
        <d v="2026-01-05T00:02:00Z"/>
        <d v="2026-01-28T02:29:00Z"/>
        <d v="2026-01-23T22:24:00Z"/>
        <d v="2026-01-05T20:44:00Z"/>
        <d v="2026-01-14T07:11:00Z"/>
        <d v="2026-01-18T07:58:00Z"/>
        <d v="2026-01-26T14:42:00Z"/>
        <d v="2026-01-11T14:39:00Z"/>
        <d v="2026-01-15T05:47:00Z"/>
        <d v="2026-01-25T07:53:00Z"/>
        <d v="2026-01-25T16:31:00Z"/>
        <d v="2026-01-15T02:45:00Z"/>
        <d v="2026-01-11T10:57:00Z"/>
        <d v="2026-01-05T07:24:00Z"/>
        <d v="2026-01-14T13:21:00Z"/>
        <d v="2026-01-02T06:53:00Z"/>
        <d v="2026-01-19T22:01:00Z"/>
        <d v="2026-01-01T11:19:00Z"/>
        <d v="2026-01-24T23:34:00Z"/>
        <d v="2026-01-08T08:27:00Z"/>
        <d v="2026-01-11T21:43:00Z"/>
        <d v="2026-01-30T04:39:00Z"/>
        <d v="2026-01-19T18:42:00Z"/>
        <d v="2026-01-14T04:55:00Z"/>
        <d v="2026-01-09T12:20:00Z"/>
        <d v="2026-01-11T12:17:00Z"/>
        <d v="2026-01-16T00:47:00Z"/>
        <d v="2026-01-08T20:04:00Z"/>
        <d v="2026-01-01T07:12:00Z"/>
        <d v="2026-01-08T04:30:00Z"/>
        <d v="2026-01-07T14:44:00Z"/>
        <d v="2026-01-20T19:47:00Z"/>
        <d v="2026-01-04T18:01:00Z"/>
        <d v="2026-01-30T12:25:00Z"/>
        <d v="2026-01-23T20:15:00Z"/>
        <d v="2026-01-20T03:50:00Z"/>
        <d v="2026-01-18T13:42:00Z"/>
        <d v="2026-01-21T10:00:00Z"/>
        <d v="2026-01-14T11:40:00Z"/>
        <d v="2026-01-06T23:33:00Z"/>
        <d v="2026-01-26T17:49:00Z"/>
        <d v="2026-01-27T23:37:00Z"/>
        <d v="2026-01-27T02:17:00Z"/>
        <d v="2026-01-15T18:39:00Z"/>
        <d v="2026-01-01T15:54:00Z"/>
        <d v="2026-01-07T11:51:00Z"/>
        <d v="2026-01-29T19:44:00Z"/>
        <d v="2026-01-17T06:05:00Z"/>
        <d v="2026-01-18T07:44:00Z"/>
        <d v="2026-01-26T00:05:00Z"/>
        <d v="2026-01-23T07:19:00Z"/>
        <d v="2026-01-16T17:33:00Z"/>
        <d v="2026-01-18T10:22:00Z"/>
        <d v="2026-01-09T07:07:00Z"/>
        <d v="2026-01-24T17:48:00Z"/>
        <d v="2026-01-24T15:17:00Z"/>
        <d v="2026-01-10T03:53:00Z"/>
        <d v="2026-01-12T05:19:00Z"/>
        <d v="2026-01-09T01:03:00Z"/>
        <d v="2026-01-05T20:55:00Z"/>
        <d v="2026-01-19T09:30:00Z"/>
        <d v="2026-01-06T01:16:00Z"/>
        <d v="2026-01-13T15:04:00Z"/>
        <d v="2026-01-05T18:19:00Z"/>
        <d v="2026-01-18T13:38:00Z"/>
        <d v="2026-01-25T16:24:00Z"/>
        <d v="2026-01-28T18:27:00Z"/>
        <d v="2026-01-02T19:47:00Z"/>
        <d v="2026-01-07T08:42:00Z"/>
        <d v="2026-01-06T17:04:00Z"/>
        <d v="2026-01-15T22:38:00Z"/>
        <d v="2026-01-08T09:45:00Z"/>
        <d v="2026-01-22T07:59:00Z"/>
        <d v="2026-01-26T06:27:00Z"/>
        <d v="2026-01-21T04:58:00Z"/>
        <d v="2026-01-02T05:50:00Z"/>
        <d v="2026-01-27T18:58:00Z"/>
        <d v="2026-01-15T22:19:00Z"/>
        <d v="2026-01-18T15:28:00Z"/>
        <d v="2026-01-29T13:47:00Z"/>
        <d v="2026-01-01T02:14:00Z"/>
        <d v="2026-01-01T21:52:00Z"/>
        <d v="2026-01-25T05:30:00Z"/>
        <d v="2026-01-06T18:27:00Z"/>
        <d v="2026-01-16T11:26:00Z"/>
        <d v="2026-01-04T05:21:00Z"/>
        <d v="2026-01-22T12:52:00Z"/>
        <d v="2026-01-03T10:16:00Z"/>
        <d v="2026-01-13T16:52:00Z"/>
        <d v="2026-01-14T01:12:00Z"/>
        <d v="2026-01-25T15:40:00Z"/>
        <d v="2026-01-09T17:08:00Z"/>
        <d v="2026-01-16T03:01:00Z"/>
        <d v="2026-01-23T05:19:00Z"/>
        <d v="2026-01-14T02:14:00Z"/>
        <d v="2026-01-21T04:31:00Z"/>
        <d v="2026-01-09T13:53:00Z"/>
        <d v="2026-01-15T17:09:00Z"/>
        <d v="2026-01-17T23:56:00Z"/>
        <d v="2026-01-25T13:21:00Z"/>
        <d v="2026-01-10T23:19:00Z"/>
        <d v="2026-01-16T04:28:00Z"/>
        <d v="2026-01-11T17:48:00Z"/>
        <d v="2026-01-30T10:55:00Z"/>
        <d v="2026-01-13T07:54:00Z"/>
        <d v="2026-01-24T15:45:00Z"/>
        <d v="2026-01-26T20:09:00Z"/>
        <d v="2026-01-17T18:21:00Z"/>
        <d v="2026-01-17T14:00:00Z"/>
        <d v="2026-01-05T02:30:00Z"/>
        <d v="2026-01-23T12:41:00Z"/>
        <d v="2026-01-28T17:24:00Z"/>
        <d v="2026-01-02T19:04:00Z"/>
        <d v="2026-01-24T02:27:00Z"/>
        <d v="2026-01-06T22:19:00Z"/>
        <d v="2026-01-26T01:18:00Z"/>
        <d v="2026-01-05T07:33:00Z"/>
        <d v="2026-01-26T05:10:00Z"/>
        <d v="2026-01-28T12:39:00Z"/>
        <d v="2026-01-30T18:09:00Z"/>
        <d v="2026-01-09T14:16:00Z"/>
        <d v="2026-01-29T09:43:00Z"/>
        <d v="2026-01-15T11:37:00Z"/>
        <d v="2026-01-09T14:54:00Z"/>
        <d v="2026-01-28T15:06:00Z"/>
        <d v="2026-01-12T18:18:00Z"/>
        <d v="2026-01-13T08:00:00Z"/>
        <d v="2026-01-24T15:53:00Z"/>
        <d v="2026-01-26T11:14:00Z"/>
        <d v="2026-01-09T21:48:00Z"/>
        <d v="2026-01-04T20:41:00Z"/>
        <d v="2026-01-15T01:37:00Z"/>
        <d v="2026-01-30T09:20:00Z"/>
        <d v="2026-01-05T17:56:00Z"/>
        <d v="2026-01-30T08:53:00Z"/>
        <d v="2026-01-26T09:47:00Z"/>
        <d v="2026-01-03T04:48:00Z"/>
        <d v="2026-01-12T02:50:00Z"/>
        <d v="2026-01-18T03:29:00Z"/>
        <d v="2026-01-13T20:23:00Z"/>
        <d v="2026-01-01T19:56:00Z"/>
        <d v="2026-01-10T20:26:00Z"/>
        <d v="2026-01-02T09:31:00Z"/>
        <d v="2026-01-29T17:08:00Z"/>
        <d v="2026-01-22T23:44:00Z"/>
        <d v="2026-01-24T23:09:00Z"/>
        <d v="2026-01-20T13:17:00Z"/>
        <d v="2026-01-15T14:15:00Z"/>
        <d v="2026-01-12T17:57:00Z"/>
        <d v="2026-01-13T08:12:00Z"/>
        <d v="2026-01-22T06:41:00Z"/>
        <d v="2026-01-02T10:15:00Z"/>
        <d v="2026-01-03T17:13:00Z"/>
        <d v="2026-01-11T04:50:00Z"/>
        <d v="2026-01-28T04:08:00Z"/>
        <d v="2026-01-04T21:55:00Z"/>
        <d v="2026-01-12T07:37:00Z"/>
        <d v="2026-01-09T01:08:00Z"/>
        <d v="2026-01-24T02:30:00Z"/>
        <d v="2026-01-19T03:28:00Z"/>
        <d v="2026-01-02T23:50:00Z"/>
        <d v="2026-01-15T20:01:00Z"/>
        <d v="2026-01-14T21:06:00Z"/>
        <d v="2026-01-29T02:20:00Z"/>
        <d v="2026-01-05T08:39:00Z"/>
        <d v="2026-01-23T10:24:00Z"/>
        <d v="2026-01-15T16:38:00Z"/>
        <d v="2026-01-15T07:26:00Z"/>
        <d v="2026-01-14T23:06:00Z"/>
        <d v="2026-01-22T08:23:00Z"/>
        <d v="2026-01-03T02:05:00Z"/>
        <d v="2026-01-24T11:51:00Z"/>
        <d v="2026-01-19T17:35:00Z"/>
        <d v="2026-01-12T21:48:00Z"/>
        <d v="2026-01-20T09:22:00Z"/>
        <d v="2026-01-07T04:42:00Z"/>
        <d v="2026-01-12T17:23:00Z"/>
        <d v="2026-01-08T13:54:00Z"/>
        <d v="2026-01-22T20:35:00Z"/>
        <d v="2026-01-27T22:17:00Z"/>
        <d v="2026-01-23T09:58:00Z"/>
        <d v="2026-01-06T04:36:00Z"/>
        <d v="2026-01-05T23:40:00Z"/>
        <d v="2026-01-17T06:24:00Z"/>
        <d v="2026-01-06T11:19:00Z"/>
        <d v="2026-01-03T01:09:00Z"/>
        <d v="2026-01-22T02:17:00Z"/>
        <d v="2026-01-20T14:26:00Z"/>
        <d v="2026-01-17T03:22:00Z"/>
        <d v="2026-01-22T21:37:00Z"/>
        <d v="2026-01-10T01:14:00Z"/>
        <d v="2026-01-01T06:19:00Z"/>
        <d v="2026-01-09T09:20:00Z"/>
        <d v="2026-01-24T13:11:00Z"/>
        <d v="2026-01-23T07:32:00Z"/>
        <d v="2026-01-13T23:02:00Z"/>
        <d v="2026-01-30T02:55:00Z"/>
        <d v="2026-01-19T12:45:00Z"/>
        <d v="2026-01-04T12:01:00Z"/>
        <d v="2026-01-15T22:58:00Z"/>
        <d v="2026-01-28T03:15:00Z"/>
        <d v="2026-01-17T02:25:00Z"/>
        <d v="2026-01-11T05:04:00Z"/>
        <d v="2026-01-17T06:57:00Z"/>
        <d v="2026-01-27T20:52:00Z"/>
        <d v="2026-01-05T08:12:00Z"/>
        <d v="2026-01-25T20:04:00Z"/>
        <d v="2026-01-25T18:48:00Z"/>
        <d v="2026-01-30T18:41:00Z"/>
        <d v="2026-01-28T20:20:00Z"/>
        <d v="2026-01-16T14:40:00Z"/>
        <d v="2026-01-02T11:32:00Z"/>
        <d v="2026-01-15T01:03:00Z"/>
        <d v="2026-01-21T02:39:00Z"/>
        <d v="2026-01-15T18:35:00Z"/>
        <d v="2026-01-21T06:20:00Z"/>
        <d v="2026-01-05T01:28:00Z"/>
        <d v="2026-01-03T16:41:00Z"/>
        <d v="2026-01-23T14:28:00Z"/>
        <d v="2026-01-06T11:23:00Z"/>
        <d v="2026-01-25T10:43:00Z"/>
        <d v="2026-01-21T10:04:00Z"/>
        <d v="2026-01-22T12:18:00Z"/>
        <d v="2026-01-11T02:37:00Z"/>
        <d v="2026-01-10T20:44:00Z"/>
        <d v="2026-01-20T22:05:00Z"/>
        <d v="2026-01-21T10:52:00Z"/>
        <d v="2026-01-21T21:27:00Z"/>
        <d v="2026-01-12T09:11:00Z"/>
        <d v="2026-01-16T06:14:00Z"/>
        <d v="2026-01-10T03:32:00Z"/>
        <d v="2026-01-22T10:56:00Z"/>
        <d v="2026-01-13T04:10:00Z"/>
        <d v="2026-01-24T14:02:00Z"/>
        <d v="2026-01-24T07:28:00Z"/>
        <d v="2026-01-24T14:14:00Z"/>
        <d v="2026-01-26T15:57:00Z"/>
        <d v="2026-01-19T14:29:00Z"/>
        <d v="2026-01-17T13:10:00Z"/>
        <d v="2026-01-28T08:03:00Z"/>
        <d v="2026-01-18T03:45:00Z"/>
        <d v="2026-01-03T05:17:00Z"/>
        <d v="2026-01-27T13:05:00Z"/>
        <d v="2026-01-30T00:26:00Z"/>
        <d v="2026-01-12T07:24:00Z"/>
        <d v="2026-01-01T10:59:00Z"/>
        <d v="2026-01-05T01:18:00Z"/>
        <d v="2026-01-23T15:28:00Z"/>
        <d v="2026-01-01T08:13:00Z"/>
        <d v="2026-01-20T16:27:00Z"/>
        <d v="2026-01-10T03:03:00Z"/>
        <d v="2026-01-26T19:29:00Z"/>
        <d v="2026-01-20T17:01:00Z"/>
        <d v="2026-01-08T22:09:00Z"/>
        <d v="2026-01-20T11:15:00Z"/>
        <d v="2026-01-22T21:05:00Z"/>
        <d v="2026-01-17T17:32:00Z"/>
        <d v="2026-01-13T15:02:00Z"/>
        <d v="2026-01-09T23:01:00Z"/>
        <d v="2026-01-08T23:42:00Z"/>
        <d v="2026-01-19T23:48:00Z"/>
        <d v="2026-01-12T17:21:00Z"/>
        <d v="2026-01-22T14:44:00Z"/>
        <d v="2026-01-03T22:49:00Z"/>
        <d v="2026-01-07T01:50:00Z"/>
        <d v="2026-01-30T09:32:00Z"/>
        <d v="2026-01-09T01:48:00Z"/>
        <d v="2026-01-12T01:55:00Z"/>
        <d v="2026-01-04T11:27:00Z"/>
        <d v="2026-01-11T05:31:00Z"/>
        <d v="2026-01-09T02:46:00Z"/>
        <d v="2026-01-20T05:34:00Z"/>
        <d v="2026-01-03T10:42:00Z"/>
        <d v="2026-01-20T22:27:00Z"/>
        <d v="2026-01-15T01:46:00Z"/>
        <d v="2026-01-09T20:50:00Z"/>
        <d v="2026-01-21T12:23:00Z"/>
        <d v="2026-01-05T19:43:00Z"/>
        <d v="2026-01-03T07:49:00Z"/>
        <d v="2026-01-13T18:02:00Z"/>
        <d v="2026-01-15T11:23:00Z"/>
        <d v="2026-01-05T16:23:00Z"/>
        <d v="2026-01-17T12:58:00Z"/>
        <d v="2026-01-25T08:45:00Z"/>
        <d v="2026-01-10T22:58:00Z"/>
        <d v="2026-01-05T02:28:00Z"/>
        <d v="2026-01-26T21:54:00Z"/>
        <d v="2026-01-03T17:34:00Z"/>
        <d v="2026-01-23T22:59:00Z"/>
        <d v="2026-01-17T07:07:00Z"/>
        <d v="2026-01-26T15:01:00Z"/>
        <d v="2026-01-12T14:51:00Z"/>
        <d v="2026-01-29T02:04:00Z"/>
        <d v="2026-01-24T15:33:00Z"/>
        <d v="2026-01-03T04:20:00Z"/>
        <d v="2026-01-15T21:33:00Z"/>
        <d v="2026-01-18T20:37:00Z"/>
        <d v="2026-01-17T01:53:00Z"/>
        <d v="2026-01-10T05:10:00Z"/>
        <d v="2026-01-17T09:54:00Z"/>
        <d v="2026-01-21T17:17:00Z"/>
        <d v="2026-01-18T02:32:00Z"/>
        <d v="2026-01-19T04:10:00Z"/>
        <d v="2026-01-29T19:21:00Z"/>
        <d v="2026-01-03T01:41:00Z"/>
        <d v="2026-01-07T18:26:00Z"/>
        <d v="2026-01-29T20:34:00Z"/>
        <d v="2026-01-08T21:25:00Z"/>
        <d v="2026-01-23T01:10:00Z"/>
        <d v="2026-01-15T06:21:00Z"/>
        <d v="2026-01-28T22:20:00Z"/>
        <d v="2026-01-25T11:32:00Z"/>
        <d v="2026-01-08T14:07:00Z"/>
        <d v="2026-01-05T03:03:00Z"/>
        <d v="2026-01-14T07:55:00Z"/>
        <d v="2026-01-24T10:12:00Z"/>
        <d v="2026-01-15T15:56:00Z"/>
        <d v="2026-01-03T12:32:00Z"/>
        <d v="2026-01-19T11:03:00Z"/>
        <d v="2026-01-20T20:43:00Z"/>
        <d v="2026-01-01T03:27:00Z"/>
        <d v="2026-01-12T12:23:00Z"/>
        <d v="2026-01-19T17:12:00Z"/>
        <d v="2026-01-27T19:43:00Z"/>
        <d v="2026-01-04T12:23:00Z"/>
        <d v="2026-01-25T04:12:00Z"/>
        <d v="2026-01-17T01:02:00Z"/>
        <d v="2026-01-11T15:33:00Z"/>
        <d v="2026-01-29T16:08:00Z"/>
        <d v="2026-01-06T12:39:00Z"/>
        <d v="2026-01-17T16:34:00Z"/>
        <d v="2026-01-16T00:23:00Z"/>
        <d v="2026-01-19T09:50:00Z"/>
        <d v="2026-01-16T08:41:00Z"/>
        <d v="2026-01-24T01:37:00Z"/>
        <d v="2026-01-21T23:39:00Z"/>
        <d v="2026-01-08T01:36:00Z"/>
        <d v="2026-01-15T10:26:00Z"/>
        <d v="2026-01-07T13:32:00Z"/>
        <d v="2026-01-24T01:45:00Z"/>
        <d v="2026-01-18T10:42:00Z"/>
        <d v="2026-01-11T05:29:00Z"/>
        <d v="2026-01-12T21:49:00Z"/>
        <d v="2026-01-16T06:15:00Z"/>
        <d v="2026-01-08T09:49:00Z"/>
        <d v="2026-01-23T15:20:00Z"/>
        <d v="2026-01-30T23:17:00Z"/>
        <d v="2026-01-22T17:24:00Z"/>
        <d v="2026-01-26T04:18:00Z"/>
        <d v="2026-01-03T11:59:00Z"/>
        <d v="2026-01-16T06:12:00Z"/>
        <d v="2026-01-23T08:08:00Z"/>
        <d v="2026-01-19T07:15:00Z"/>
        <d v="2026-01-21T07:03:00Z"/>
        <d v="2026-01-23T15:06:00Z"/>
        <d v="2026-01-18T05:26:00Z"/>
        <d v="2026-01-21T06:48:00Z"/>
        <d v="2026-01-21T01:58:00Z"/>
        <d v="2026-01-18T23:46:00Z"/>
        <d v="2026-01-29T05:59:00Z"/>
        <d v="2026-01-16T05:59:00Z"/>
        <d v="2026-01-10T18:38:00Z"/>
        <d v="2026-01-15T20:34:00Z"/>
        <d v="2026-01-28T16:29:00Z"/>
        <d v="2026-01-11T05:46:00Z"/>
        <d v="2026-01-06T00:47:00Z"/>
        <d v="2026-01-22T06:11:00Z"/>
        <d v="2026-01-17T10:05:00Z"/>
        <d v="2026-01-05T15:20:00Z"/>
        <d v="2026-01-13T07:28:00Z"/>
        <d v="2026-01-19T23:36:00Z"/>
        <d v="2026-01-12T22:15:00Z"/>
        <d v="2026-01-10T05:25:00Z"/>
        <d v="2026-01-04T20:58:00Z"/>
        <d v="2026-01-08T07:08:00Z"/>
        <d v="2026-01-24T19:23:00Z"/>
        <d v="2026-01-25T17:51:00Z"/>
        <d v="2026-01-08T21:48:00Z"/>
        <d v="2026-01-15T16:45:00Z"/>
        <d v="2026-01-04T01:53:00Z"/>
        <d v="2026-01-19T17:09:00Z"/>
        <d v="2026-01-15T03:43:00Z"/>
        <d v="2026-01-03T16:28:00Z"/>
        <d v="2026-01-17T13:29:00Z"/>
        <d v="2026-01-15T21:51:00Z"/>
        <d v="2026-01-09T00:47:00Z"/>
        <d v="2026-01-02T13:22:00Z"/>
        <d v="2026-01-30T02:59:00Z"/>
        <d v="2026-01-14T05:49:00Z"/>
        <d v="2026-01-29T12:28:00Z"/>
        <d v="2026-01-22T21:55:00Z"/>
        <d v="2026-01-28T11:07:00Z"/>
        <d v="2026-01-17T04:46:00Z"/>
        <d v="2026-01-01T09:29:00Z"/>
        <d v="2026-01-18T12:52:00Z"/>
        <d v="2026-01-12T04:17:00Z"/>
        <d v="2026-01-26T21:26:00Z"/>
        <d v="2026-01-07T02:06:00Z"/>
        <d v="2026-01-20T21:45:00Z"/>
        <d v="2026-01-02T12:28:00Z"/>
        <d v="2026-01-25T01:08:00Z"/>
        <d v="2026-01-27T23:36:00Z"/>
        <d v="2026-01-25T21:52:00Z"/>
        <d v="2026-01-29T04:42:00Z"/>
        <d v="2026-01-10T08:03:00Z"/>
        <d v="2026-01-30T05:40:00Z"/>
        <d v="2026-01-16T01:22:00Z"/>
        <d v="2026-01-17T10:44:00Z"/>
        <d v="2026-01-10T12:11:00Z"/>
        <d v="2026-01-28T07:19:00Z"/>
        <d v="2026-01-18T13:26:00Z"/>
        <d v="2026-01-13T07:16:00Z"/>
        <d v="2026-01-03T14:54:00Z"/>
        <d v="2026-01-24T06:03:00Z"/>
        <d v="2026-01-20T19:02:00Z"/>
        <d v="2026-01-19T23:42:00Z"/>
        <d v="2026-01-07T10:19:00Z"/>
        <d v="2026-01-24T03:47:00Z"/>
        <d v="2026-01-20T22:13:00Z"/>
        <d v="2026-01-11T09:24:00Z"/>
        <d v="2026-01-12T09:16:00Z"/>
        <d v="2026-01-15T03:51:00Z"/>
        <d v="2026-01-12T10:26:00Z"/>
        <d v="2026-01-24T04:01:00Z"/>
        <d v="2026-01-19T23:26:00Z"/>
        <d v="2026-01-11T07:24:00Z"/>
        <d v="2026-01-18T20:43:00Z"/>
        <d v="2026-01-27T15:46:00Z"/>
        <d v="2026-01-06T23:50:00Z"/>
        <d v="2026-01-24T17:31:00Z"/>
        <d v="2026-01-02T16:02:00Z"/>
        <d v="2026-01-01T13:08:00Z"/>
        <d v="2026-01-23T04:00:00Z"/>
        <d v="2026-01-12T01:39:00Z"/>
        <d v="2026-01-22T15:01:00Z"/>
        <d v="2026-01-14T00:01:00Z"/>
        <d v="2026-01-10T00:32:00Z"/>
        <d v="2026-01-04T03:33:00Z"/>
        <d v="2026-01-20T16:16:00Z"/>
        <d v="2026-01-03T11:25:00Z"/>
        <d v="2026-01-13T12:24:00Z"/>
        <d v="2026-01-21T00:44:00Z"/>
        <d v="2026-01-28T13:41:00Z"/>
        <d v="2026-01-29T16:58:00Z"/>
        <d v="2026-01-29T22:56:00Z"/>
        <d v="2026-01-02T02:43:00Z"/>
        <d v="2026-01-22T01:11:00Z"/>
        <d v="2026-01-19T04:48:00Z"/>
        <d v="2026-01-06T18:15:00Z"/>
        <d v="2026-01-29T17:21:00Z"/>
        <d v="2026-01-24T02:32:00Z"/>
        <d v="2026-01-14T07:53:00Z"/>
        <d v="2026-01-25T19:38:00Z"/>
        <d v="2026-01-21T08:50:00Z"/>
        <d v="2026-01-12T17:24:00Z"/>
        <d v="2026-01-19T21:24:00Z"/>
        <d v="2026-01-26T07:45:00Z"/>
        <d v="2026-01-05T12:45:00Z"/>
        <d v="2026-01-13T10:23:00Z"/>
        <d v="2026-01-10T14:23:00Z"/>
        <d v="2026-01-03T05:27:00Z"/>
        <d v="2026-01-17T13:06:00Z"/>
        <d v="2026-01-18T02:38:00Z"/>
        <d v="2026-01-01T09:26:00Z"/>
        <d v="2026-01-29T17:57:00Z"/>
        <d v="2026-01-06T21:24:00Z"/>
        <d v="2026-01-10T08:31:00Z"/>
        <d v="2026-01-14T08:26:00Z"/>
        <d v="2026-01-03T11:16:00Z"/>
        <d v="2026-01-30T06:00:00Z"/>
        <d v="2026-01-11T12:00:00Z"/>
        <d v="2026-01-21T14:00:00Z"/>
        <d v="2026-01-21T19:00:00Z"/>
        <d v="2026-01-16T12:00:00Z"/>
        <d v="2026-01-29T07:00:00Z"/>
        <d v="2026-01-23T11:00:00Z"/>
        <d v="2026-01-28T05:00:00Z"/>
        <d v="2026-01-25T22:00:00Z"/>
        <d v="2026-01-13T13:00:00Z"/>
        <d v="2026-01-20T07:00:00Z"/>
        <d v="2026-01-23T02:00:00Z"/>
        <d v="2026-01-23T17:00:00Z"/>
        <d v="2026-01-22T22:00:00Z"/>
        <d v="2026-01-18T21:00:00Z"/>
        <d v="2026-01-02T18:00:00Z"/>
        <d v="2026-01-02T18:01:00Z"/>
        <d v="2026-01-02T18:02:00Z"/>
        <d v="2026-01-02T18:03:00Z"/>
        <d v="2026-01-12T12:00:00Z"/>
        <d v="2026-01-12T12:01:00Z"/>
        <d v="2026-01-12T12:02:00Z"/>
        <d v="2026-01-12T12:03:00Z"/>
        <d v="2026-01-12T09:00:00Z"/>
        <d v="2026-01-12T09:01:00Z"/>
        <d v="2026-01-12T09:02:00Z"/>
        <d v="2026-01-12T09:03:00Z"/>
        <d v="2026-01-02T22:00:00Z"/>
        <d v="2026-01-02T22:01:00Z"/>
        <d v="2026-01-02T22:02:00Z"/>
        <d v="2026-01-02T22:03:00Z"/>
        <d v="2026-01-14T14:00:00Z"/>
        <d v="2026-01-14T14:01:00Z"/>
        <d v="2026-01-14T14:02:00Z"/>
        <d v="2026-01-14T14:03:00Z"/>
        <d v="2026-01-01T22:00:00Z"/>
        <d v="2026-01-01T22:01:00Z"/>
        <d v="2026-01-01T22:02:00Z"/>
        <d v="2026-01-01T22:03:00Z"/>
        <d v="2026-01-09T21:00:00Z"/>
        <d v="2026-01-09T21:01:00Z"/>
        <d v="2026-01-09T21:02:00Z"/>
        <d v="2026-01-09T21:03:00Z"/>
        <d v="2026-01-23T09:00:00Z"/>
        <d v="2026-01-23T09:01:00Z"/>
        <d v="2026-01-23T09:02:00Z"/>
        <d v="2026-01-23T09:03:00Z"/>
      </sharedItems>
    </cacheField>
    <cacheField name="transaction_date" numFmtId="165">
      <sharedItems containsSemiMixedTypes="0" containsDate="1" containsString="0">
        <d v="2026-01-29T00:00:00Z"/>
        <d v="2026-01-04T00:00:00Z"/>
        <d v="2026-01-24T00:00:00Z"/>
        <d v="2026-01-30T00:00:00Z"/>
        <d v="2026-01-06T00:00:00Z"/>
        <d v="2026-01-08T00:00:00Z"/>
        <d v="2026-01-27T00:00:00Z"/>
        <d v="2026-01-11T00:00:00Z"/>
        <d v="2026-01-21T00:00:00Z"/>
        <d v="2026-01-01T00:00:00Z"/>
        <d v="2026-01-09T00:00:00Z"/>
        <d v="2026-01-13T00:00:00Z"/>
        <d v="2026-01-14T00:00:00Z"/>
        <d v="2026-01-22T00:00:00Z"/>
        <d v="2026-01-05T00:00:00Z"/>
        <d v="2026-01-18T00:00:00Z"/>
        <d v="2026-01-26T00:00:00Z"/>
        <d v="2026-01-15T00:00:00Z"/>
        <d v="2026-01-17T00:00:00Z"/>
        <d v="2026-01-28T00:00:00Z"/>
        <d v="2026-01-23T00:00:00Z"/>
        <d v="2026-01-25T00:00:00Z"/>
        <d v="2026-01-02T00:00:00Z"/>
        <d v="2026-01-19T00:00:00Z"/>
        <d v="2026-01-16T00:00:00Z"/>
        <d v="2026-01-07T00:00:00Z"/>
        <d v="2026-01-20T00:00:00Z"/>
        <d v="2026-01-10T00:00:00Z"/>
        <d v="2026-01-12T00:00:00Z"/>
        <d v="2026-01-03T00:00:00Z"/>
      </sharedItems>
    </cacheField>
    <cacheField name="amount_inr" numFmtId="0">
      <sharedItems containsSemiMixedTypes="0" containsString="0" containsNumber="1" containsInteger="1">
        <n v="2999.0"/>
        <n v="49.0"/>
        <n v="1499.0"/>
        <n v="99.0"/>
        <n v="799.0"/>
        <n v="299.0"/>
        <n v="499.0"/>
        <n v="149.0"/>
        <n v="4999.0"/>
        <n v="1999.0"/>
        <n v="999.0"/>
        <n v="399.0"/>
      </sharedItems>
    </cacheField>
    <cacheField name="payment_method" numFmtId="0">
      <sharedItems>
        <s v="Wallet"/>
        <s v="UPI"/>
        <s v="Netbanking"/>
        <s v="Card"/>
      </sharedItems>
    </cacheField>
    <cacheField name="status" numFmtId="0">
      <sharedItems>
        <s v="captured"/>
        <s v="failed"/>
        <s v="chargeback"/>
      </sharedItems>
    </cacheField>
    <cacheField name="risk_score" numFmtId="0">
      <sharedItems containsSemiMixedTypes="0" containsString="0" containsNumber="1" containsInteger="1">
        <n v="85.0"/>
        <n v="79.0"/>
        <n v="22.0"/>
        <n v="100.0"/>
        <n v="34.0"/>
        <n v="60.0"/>
        <n v="39.0"/>
        <n v="51.0"/>
        <n v="44.0"/>
        <n v="42.0"/>
        <n v="74.0"/>
        <n v="14.0"/>
        <n v="90.0"/>
        <n v="46.0"/>
        <n v="40.0"/>
        <n v="70.0"/>
        <n v="86.0"/>
        <n v="55.0"/>
        <n v="59.0"/>
        <n v="36.0"/>
        <n v="11.0"/>
        <n v="25.0"/>
        <n v="78.0"/>
        <n v="24.0"/>
        <n v="31.0"/>
        <n v="99.0"/>
        <n v="6.0"/>
        <n v="17.0"/>
        <n v="76.0"/>
        <n v="33.0"/>
        <n v="98.0"/>
        <n v="35.0"/>
        <n v="8.0"/>
        <n v="53.0"/>
        <n v="61.0"/>
        <n v="68.0"/>
        <n v="62.0"/>
        <n v="49.0"/>
        <n v="50.0"/>
        <n v="82.0"/>
        <n v="41.0"/>
        <n v="10.0"/>
        <n v="96.0"/>
        <n v="19.0"/>
        <n v="72.0"/>
        <n v="21.0"/>
        <n v="75.0"/>
        <n v="87.0"/>
        <n v="64.0"/>
        <n v="13.0"/>
        <n v="43.0"/>
        <n v="1.0"/>
        <n v="57.0"/>
        <n v="47.0"/>
        <n v="95.0"/>
        <n v="15.0"/>
        <n v="27.0"/>
        <n v="29.0"/>
        <n v="16.0"/>
        <n v="89.0"/>
        <n v="28.0"/>
        <n v="38.0"/>
        <n v="80.0"/>
        <n v="30.0"/>
        <n v="52.0"/>
        <n v="4.0"/>
        <n v="9.0"/>
        <n v="84.0"/>
        <n v="5.0"/>
        <n v="32.0"/>
        <n v="58.0"/>
        <n v="26.0"/>
        <n v="0.0"/>
        <n v="73.0"/>
        <n v="12.0"/>
        <n v="83.0"/>
        <n v="69.0"/>
        <n v="56.0"/>
        <n v="63.0"/>
        <n v="81.0"/>
        <n v="88.0"/>
        <n v="77.0"/>
        <n v="71.0"/>
        <n v="7.0"/>
        <n v="2.0"/>
        <n v="65.0"/>
        <n v="37.0"/>
        <n v="97.0"/>
        <n v="54.0"/>
        <n v="67.0"/>
        <n v="93.0"/>
        <n v="91.0"/>
        <n v="48.0"/>
        <n v="18.0"/>
        <n v="23.0"/>
        <n v="66.0"/>
        <n v="3.0"/>
        <n v="20.0"/>
        <n v="92.0"/>
        <n v="94.0"/>
        <n v="45.0"/>
      </sharedItems>
    </cacheField>
    <cacheField name="merchant_name" numFmtId="0">
      <sharedItems>
        <s v="Merchant_016"/>
        <s v="Merchant_027"/>
        <s v="Merchant_011"/>
        <s v="Merchant_022"/>
        <s v="Merchant_003"/>
        <s v="Merchant_023"/>
        <s v="Merchant_013"/>
        <s v="Merchant_018"/>
        <s v="Merchant_035"/>
        <s v="Merchant_012"/>
        <s v="Merchant_028"/>
        <s v="Merchant_033"/>
        <s v="Merchant_040"/>
        <s v="Merchant_019"/>
        <s v="Merchant_025"/>
        <s v="Merchant_020"/>
        <s v="Merchant_014"/>
        <s v="Merchant_021"/>
        <s v="Merchant_006"/>
        <s v="Merchant_015"/>
        <s v="Merchant_031"/>
        <s v="Merchant_037"/>
        <s v="Merchant_026"/>
        <s v="Merchant_007"/>
        <s v="Merchant_030"/>
        <s v="Merchant_036"/>
        <s v="Merchant_029"/>
        <s v="Merchant_002"/>
        <s v="Merchant_017"/>
        <s v="Merchant_004"/>
        <s v="Merchant_008"/>
        <s v="Merchant_024"/>
        <s v="Merchant_005"/>
        <s v="Merchant_032"/>
        <s v="Merchant_010"/>
        <s v="Merchant_038"/>
        <s v="Merchant_034"/>
        <s v="Merchant_001"/>
        <s v="Merchant_039"/>
        <s v="Merchant_009"/>
      </sharedItems>
    </cacheField>
    <cacheField name="category" numFmtId="0">
      <sharedItems>
        <s v="bill_payment"/>
        <s v="ecommerce"/>
        <s v="travel"/>
        <s v="grocery"/>
        <s v="recharge"/>
        <s v="entertainment"/>
        <s v="food_delivery"/>
      </sharedItems>
    </cacheField>
    <cacheField name="region" numFmtId="0">
      <sharedItems>
        <s v="West"/>
        <s v="North"/>
        <s v="South"/>
        <s v="East"/>
      </sharedItems>
    </cacheField>
    <cacheField name="fees" numFmtId="0">
      <sharedItems containsSemiMixedTypes="0" containsString="0" containsNumber="1">
        <n v="0.0025"/>
        <n v="0.0"/>
        <n v="0.005"/>
        <n v="0.01"/>
      </sharedItems>
    </cacheField>
    <cacheField name="daily_amount_total" numFmtId="0">
      <sharedItems containsSemiMixedTypes="0" containsString="0" containsNumber="1" containsInteger="1">
        <n v="2999.0"/>
        <n v="49.0"/>
        <n v="1798.0"/>
        <n v="898.0"/>
        <n v="99.0"/>
        <n v="799.0"/>
        <n v="299.0"/>
        <n v="548.0"/>
        <n v="198.0"/>
        <n v="1499.0"/>
        <n v="4498.0"/>
        <n v="897.0"/>
        <n v="1598.0"/>
        <n v="697.0"/>
        <n v="2497.0"/>
        <n v="1098.0"/>
        <n v="1648.0"/>
        <n v="98.0"/>
        <n v="149.0"/>
        <n v="148.0"/>
        <n v="4999.0"/>
        <n v="7998.0"/>
        <n v="348.0"/>
        <n v="499.0"/>
        <n v="1597.0"/>
        <n v="948.0"/>
        <n v="3896.0"/>
        <n v="398.0"/>
        <n v="1197.0"/>
        <n v="598.0"/>
        <n v="1998.0"/>
        <n v="3148.0"/>
        <n v="3298.0"/>
        <n v="497.0"/>
        <n v="448.0"/>
        <n v="1298.0"/>
        <n v="5048.0"/>
        <n v="5298.0"/>
        <n v="3797.0"/>
        <n v="9796.0"/>
        <n v="1647.0"/>
        <n v="247.0"/>
        <n v="1697.0"/>
        <n v="1548.0"/>
        <n v="798.0"/>
        <n v="248.0"/>
        <n v="648.0"/>
        <n v="3998.0"/>
        <n v="5798.0"/>
        <n v="1847.0"/>
        <n v="3048.0"/>
        <n v="1999.0"/>
        <n v="999.0"/>
        <n v="399.0"/>
      </sharedItems>
    </cacheField>
    <cacheField name="High-Value Merchant Day" numFmtId="0">
      <sharedItems>
        <s v="Normal"/>
        <s v="High-Value Merchant Day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" cacheId="0" dataCaption="" compact="0" compactData="0">
  <location ref="A3:D135" firstHeaderRow="0" firstDataRow="3" firstDataCol="0"/>
  <pivotFields>
    <pivotField name="transaction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t="default"/>
      </items>
    </pivotField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t="default"/>
      </items>
    </pivotField>
    <pivotField name="merchant_id" axis="axisRow" compact="0" outline="0" multipleItemSelectionAllowed="1" showAll="0" sortType="ascending">
      <items>
        <item x="37"/>
        <item x="27"/>
        <item x="4"/>
        <item x="29"/>
        <item x="32"/>
        <item x="18"/>
        <item x="23"/>
        <item x="30"/>
        <item x="39"/>
        <item x="34"/>
        <item x="2"/>
        <item x="9"/>
        <item x="6"/>
        <item x="16"/>
        <item x="19"/>
        <item x="0"/>
        <item x="28"/>
        <item x="7"/>
        <item x="13"/>
        <item x="15"/>
        <item x="17"/>
        <item x="3"/>
        <item x="5"/>
        <item x="31"/>
        <item x="14"/>
        <item x="22"/>
        <item x="1"/>
        <item x="10"/>
        <item x="26"/>
        <item x="24"/>
        <item x="20"/>
        <item x="33"/>
        <item x="11"/>
        <item x="36"/>
        <item x="8"/>
        <item x="25"/>
        <item x="21"/>
        <item x="35"/>
        <item x="38"/>
        <item x="12"/>
        <item t="default"/>
      </items>
    </pivotField>
    <pivotField name="transaction_ti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t="default"/>
      </items>
    </pivotField>
    <pivotField name="transaction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amount_in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  <pivotField name="status" axis="axisRow" compact="0" outline="0" multipleItemSelectionAllowed="1" showAll="0" sortType="ascending">
      <items>
        <item x="0"/>
        <item x="2"/>
        <item x="1"/>
        <item t="default"/>
      </items>
    </pivotField>
    <pivotField name="risk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merchan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fees" compact="0" outline="0" multipleItemSelectionAllowed="1" showAll="0">
      <items>
        <item x="0"/>
        <item x="1"/>
        <item x="2"/>
        <item x="3"/>
        <item t="default"/>
      </items>
    </pivotField>
    <pivotField name="daily_amount_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High-Value Merchant Day" compact="0" outline="0" multipleItemSelectionAllowed="1" showAll="0">
      <items>
        <item x="0"/>
        <item x="1"/>
        <item t="default"/>
      </items>
    </pivotField>
  </pivotFields>
  <rowFields>
    <field x="2"/>
    <field x="7"/>
  </rowFields>
  <colFields>
    <field x="-2"/>
  </colFields>
  <dataFields>
    <dataField name="total amount_inr" fld="5" baseField="0"/>
    <dataField name="count of transactions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9.25"/>
    <col customWidth="1" min="3" max="3" width="12.63"/>
    <col customWidth="1" min="4" max="4" width="16.25"/>
    <col customWidth="1" min="5" max="5" width="14.63"/>
    <col customWidth="1" min="6" max="6" width="10.88"/>
    <col customWidth="1" min="8" max="8" width="9.0"/>
    <col customWidth="1" min="9" max="9" width="10.75"/>
    <col customWidth="1" min="10" max="10" width="14.5"/>
    <col customWidth="1" min="11" max="11" width="11.5"/>
    <col customWidth="1" min="12" max="12" width="9.13"/>
    <col customWidth="1" min="13" max="13" width="7.25"/>
    <col customWidth="1" min="14" max="14" width="18.38"/>
    <col customWidth="1" min="15" max="15" width="23.5"/>
  </cols>
  <sheetData>
    <row r="1" ht="15.75" customHeight="1">
      <c r="A1" s="1" t="s">
        <v>0</v>
      </c>
      <c r="B1" s="1" t="s">
        <v>3</v>
      </c>
      <c r="C1" s="1" t="s">
        <v>1</v>
      </c>
      <c r="D1" s="1" t="s">
        <v>4</v>
      </c>
      <c r="E1" s="1" t="s">
        <v>5</v>
      </c>
      <c r="F1" s="1" t="s">
        <v>7</v>
      </c>
      <c r="G1" s="1" t="s">
        <v>9</v>
      </c>
      <c r="H1" s="1" t="s">
        <v>11</v>
      </c>
      <c r="I1" s="1" t="s">
        <v>13</v>
      </c>
      <c r="J1" s="1" t="s">
        <v>8</v>
      </c>
      <c r="K1" s="2" t="s">
        <v>10</v>
      </c>
      <c r="L1" s="2" t="s">
        <v>12</v>
      </c>
      <c r="M1" s="2" t="s">
        <v>16</v>
      </c>
      <c r="N1" s="2" t="s">
        <v>19</v>
      </c>
      <c r="O1" s="8" t="str">
        <f>IF(AND(N1 &gt; 5000, L1 &lt;&gt; "East"), "High-Value Merchant Day", "")</f>
        <v>High-Value Merchant Day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75" customHeight="1">
      <c r="A2" s="3" t="s">
        <v>39</v>
      </c>
      <c r="B2" s="5">
        <v>350.0</v>
      </c>
      <c r="C2" s="5">
        <v>16.0</v>
      </c>
      <c r="D2" s="9">
        <v>46051.467361111114</v>
      </c>
      <c r="E2" s="10">
        <f t="shared" ref="E2:E548" si="1">int(D2)</f>
        <v>46051</v>
      </c>
      <c r="F2" s="5">
        <v>2999.0</v>
      </c>
      <c r="G2" s="3" t="s">
        <v>15</v>
      </c>
      <c r="H2" s="3" t="s">
        <v>48</v>
      </c>
      <c r="I2" s="5">
        <v>85.0</v>
      </c>
      <c r="J2" s="8" t="str">
        <f>IFERROR(IFNA(vlookup(C2,merchants!$A$1:$D$41,2,FALSE),"Merchant not found"), "Merchant not found")</f>
        <v>Merchant_016</v>
      </c>
      <c r="K2" s="8" t="str">
        <f>IFERROR(IFNA(vlookup(C2,merchants!$A$1:$D$41,3,FALSE),"Merchant not found"), "Merchant not found")</f>
        <v>bill_payment</v>
      </c>
      <c r="L2" s="8" t="str">
        <f>IFERROR(IFNA(vlookup(C2,merchants!$A$1:$D$41,4,FALSE),"Merchant not found"), "Merchant not found")</f>
        <v>West</v>
      </c>
      <c r="M2" s="8">
        <f>IFERROR(IFNA(hlookup(G2,payment_methods!$A$1:$E$2,2,FALSE),"Payment method not found"), "Payment method not found")</f>
        <v>0.0025</v>
      </c>
      <c r="N2" s="8">
        <f t="shared" ref="N2:N548" si="2">SUMIFS(F:F,C:C,C2,E:E,E2)</f>
        <v>2999</v>
      </c>
      <c r="O2" s="8" t="str">
        <f t="shared" ref="O2:O548" si="3">IF(AND(N2 &gt; 5000, L2 &lt;&gt; "East"), "High-Value Merchant Day", "Normal")</f>
        <v>Normal</v>
      </c>
    </row>
    <row r="3" ht="15.75" customHeight="1">
      <c r="A3" s="3" t="s">
        <v>77</v>
      </c>
      <c r="B3" s="5">
        <v>287.0</v>
      </c>
      <c r="C3" s="5">
        <v>27.0</v>
      </c>
      <c r="D3" s="9">
        <v>46026.49236111111</v>
      </c>
      <c r="E3" s="10">
        <f t="shared" si="1"/>
        <v>46026</v>
      </c>
      <c r="F3" s="5">
        <v>49.0</v>
      </c>
      <c r="G3" s="3" t="s">
        <v>20</v>
      </c>
      <c r="H3" s="3" t="s">
        <v>48</v>
      </c>
      <c r="I3" s="5">
        <v>79.0</v>
      </c>
      <c r="J3" s="8" t="str">
        <f>IFERROR(IFNA(vlookup(C3,merchants!$A$1:$D$41,2,FALSE),"Merchant not found"), "Merchant not found")</f>
        <v>Merchant_027</v>
      </c>
      <c r="K3" s="8" t="str">
        <f>IFERROR(IFNA(vlookup(C3,merchants!$A$1:$D$41,3,FALSE),"Merchant not found"), "Merchant not found")</f>
        <v>ecommerce</v>
      </c>
      <c r="L3" s="8" t="str">
        <f>IFERROR(IFNA(vlookup(C3,merchants!$A$1:$D$41,4,FALSE),"Merchant not found"), "Merchant not found")</f>
        <v>North</v>
      </c>
      <c r="M3" s="8">
        <f>IFERROR(IFNA(hlookup(G3,payment_methods!$A$1:$E$2,2,FALSE),"Payment method not found"), "Payment method not found")</f>
        <v>0</v>
      </c>
      <c r="N3" s="8">
        <f t="shared" si="2"/>
        <v>49</v>
      </c>
      <c r="O3" s="8" t="str">
        <f t="shared" si="3"/>
        <v>Normal</v>
      </c>
    </row>
    <row r="4" ht="15.75" customHeight="1">
      <c r="A4" s="3" t="s">
        <v>83</v>
      </c>
      <c r="B4" s="5">
        <v>122.0</v>
      </c>
      <c r="C4" s="5">
        <v>11.0</v>
      </c>
      <c r="D4" s="9">
        <v>46046.20763888889</v>
      </c>
      <c r="E4" s="10">
        <f t="shared" si="1"/>
        <v>46046</v>
      </c>
      <c r="F4" s="5">
        <v>1499.0</v>
      </c>
      <c r="G4" s="3" t="s">
        <v>15</v>
      </c>
      <c r="H4" s="3" t="s">
        <v>48</v>
      </c>
      <c r="I4" s="5">
        <v>22.0</v>
      </c>
      <c r="J4" s="8" t="str">
        <f>IFERROR(IFNA(vlookup(C4,merchants!$A$1:$D$41,2,FALSE),"Merchant not found"), "Merchant not found")</f>
        <v>Merchant_011</v>
      </c>
      <c r="K4" s="8" t="str">
        <f>IFERROR(IFNA(vlookup(C4,merchants!$A$1:$D$41,3,FALSE),"Merchant not found"), "Merchant not found")</f>
        <v>ecommerce</v>
      </c>
      <c r="L4" s="8" t="str">
        <f>IFERROR(IFNA(vlookup(C4,merchants!$A$1:$D$41,4,FALSE),"Merchant not found"), "Merchant not found")</f>
        <v>North</v>
      </c>
      <c r="M4" s="8">
        <f>IFERROR(IFNA(hlookup(G4,payment_methods!$A$1:$E$2,2,FALSE),"Payment method not found"), "Payment method not found")</f>
        <v>0.0025</v>
      </c>
      <c r="N4" s="8">
        <f t="shared" si="2"/>
        <v>1798</v>
      </c>
      <c r="O4" s="8" t="str">
        <f t="shared" si="3"/>
        <v>Normal</v>
      </c>
    </row>
    <row r="5" ht="15.75" customHeight="1">
      <c r="A5" s="3" t="s">
        <v>88</v>
      </c>
      <c r="B5" s="5">
        <v>92.0</v>
      </c>
      <c r="C5" s="5">
        <v>22.0</v>
      </c>
      <c r="D5" s="9">
        <v>46051.54236111111</v>
      </c>
      <c r="E5" s="10">
        <f t="shared" si="1"/>
        <v>46051</v>
      </c>
      <c r="F5" s="5">
        <v>49.0</v>
      </c>
      <c r="G5" s="3" t="s">
        <v>25</v>
      </c>
      <c r="H5" s="3" t="s">
        <v>48</v>
      </c>
      <c r="I5" s="5">
        <v>100.0</v>
      </c>
      <c r="J5" s="8" t="str">
        <f>IFERROR(IFNA(vlookup(C5,merchants!$A$1:$D$41,2,FALSE),"Merchant not found"), "Merchant not found")</f>
        <v>Merchant_022</v>
      </c>
      <c r="K5" s="8" t="str">
        <f>IFERROR(IFNA(vlookup(C5,merchants!$A$1:$D$41,3,FALSE),"Merchant not found"), "Merchant not found")</f>
        <v>travel</v>
      </c>
      <c r="L5" s="8" t="str">
        <f>IFERROR(IFNA(vlookup(C5,merchants!$A$1:$D$41,4,FALSE),"Merchant not found"), "Merchant not found")</f>
        <v>South</v>
      </c>
      <c r="M5" s="8">
        <f>IFERROR(IFNA(hlookup(G5,payment_methods!$A$1:$E$2,2,FALSE),"Payment method not found"), "Payment method not found")</f>
        <v>0.005</v>
      </c>
      <c r="N5" s="8">
        <f t="shared" si="2"/>
        <v>49</v>
      </c>
      <c r="O5" s="8" t="str">
        <f t="shared" si="3"/>
        <v>Normal</v>
      </c>
    </row>
    <row r="6" ht="15.75" customHeight="1">
      <c r="A6" s="3" t="s">
        <v>91</v>
      </c>
      <c r="B6" s="5">
        <v>343.0</v>
      </c>
      <c r="C6" s="5">
        <v>16.0</v>
      </c>
      <c r="D6" s="9">
        <v>46052.57708333333</v>
      </c>
      <c r="E6" s="10">
        <f t="shared" si="1"/>
        <v>46052</v>
      </c>
      <c r="F6" s="5">
        <v>99.0</v>
      </c>
      <c r="G6" s="3" t="s">
        <v>20</v>
      </c>
      <c r="H6" s="3" t="s">
        <v>48</v>
      </c>
      <c r="I6" s="5">
        <v>34.0</v>
      </c>
      <c r="J6" s="8" t="str">
        <f>IFERROR(IFNA(vlookup(C6,merchants!$A$1:$D$41,2,FALSE),"Merchant not found"), "Merchant not found")</f>
        <v>Merchant_016</v>
      </c>
      <c r="K6" s="8" t="str">
        <f>IFERROR(IFNA(vlookup(C6,merchants!$A$1:$D$41,3,FALSE),"Merchant not found"), "Merchant not found")</f>
        <v>bill_payment</v>
      </c>
      <c r="L6" s="8" t="str">
        <f>IFERROR(IFNA(vlookup(C6,merchants!$A$1:$D$41,4,FALSE),"Merchant not found"), "Merchant not found")</f>
        <v>West</v>
      </c>
      <c r="M6" s="8">
        <f>IFERROR(IFNA(hlookup(G6,payment_methods!$A$1:$E$2,2,FALSE),"Payment method not found"), "Payment method not found")</f>
        <v>0</v>
      </c>
      <c r="N6" s="8">
        <f t="shared" si="2"/>
        <v>898</v>
      </c>
      <c r="O6" s="8" t="str">
        <f t="shared" si="3"/>
        <v>Normal</v>
      </c>
    </row>
    <row r="7" ht="15.75" customHeight="1">
      <c r="A7" s="3" t="s">
        <v>95</v>
      </c>
      <c r="B7" s="5">
        <v>196.0</v>
      </c>
      <c r="C7" s="5">
        <v>3.0</v>
      </c>
      <c r="D7" s="9">
        <v>46028.92083333333</v>
      </c>
      <c r="E7" s="10">
        <f t="shared" si="1"/>
        <v>46028</v>
      </c>
      <c r="F7" s="5">
        <v>99.0</v>
      </c>
      <c r="G7" s="3" t="s">
        <v>20</v>
      </c>
      <c r="H7" s="3" t="s">
        <v>48</v>
      </c>
      <c r="I7" s="5">
        <v>60.0</v>
      </c>
      <c r="J7" s="8" t="str">
        <f>IFERROR(IFNA(vlookup(C7,merchants!$A$1:$D$41,2,FALSE),"Merchant not found"), "Merchant not found")</f>
        <v>Merchant_003</v>
      </c>
      <c r="K7" s="8" t="str">
        <f>IFERROR(IFNA(vlookup(C7,merchants!$A$1:$D$41,3,FALSE),"Merchant not found"), "Merchant not found")</f>
        <v>grocery</v>
      </c>
      <c r="L7" s="8" t="str">
        <f>IFERROR(IFNA(vlookup(C7,merchants!$A$1:$D$41,4,FALSE),"Merchant not found"), "Merchant not found")</f>
        <v>East</v>
      </c>
      <c r="M7" s="8">
        <f>IFERROR(IFNA(hlookup(G7,payment_methods!$A$1:$E$2,2,FALSE),"Payment method not found"), "Payment method not found")</f>
        <v>0</v>
      </c>
      <c r="N7" s="8">
        <f t="shared" si="2"/>
        <v>898</v>
      </c>
      <c r="O7" s="8" t="str">
        <f t="shared" si="3"/>
        <v>Normal</v>
      </c>
    </row>
    <row r="8" ht="15.75" customHeight="1">
      <c r="A8" s="3" t="s">
        <v>101</v>
      </c>
      <c r="B8" s="5">
        <v>236.0</v>
      </c>
      <c r="C8" s="5">
        <v>23.0</v>
      </c>
      <c r="D8" s="9">
        <v>46030.28611111111</v>
      </c>
      <c r="E8" s="10">
        <f t="shared" si="1"/>
        <v>46030</v>
      </c>
      <c r="F8" s="5">
        <v>99.0</v>
      </c>
      <c r="G8" s="3" t="s">
        <v>15</v>
      </c>
      <c r="H8" s="3" t="s">
        <v>48</v>
      </c>
      <c r="I8" s="5">
        <v>39.0</v>
      </c>
      <c r="J8" s="8" t="str">
        <f>IFERROR(IFNA(vlookup(C8,merchants!$A$1:$D$41,2,FALSE),"Merchant not found"), "Merchant not found")</f>
        <v>Merchant_023</v>
      </c>
      <c r="K8" s="8" t="str">
        <f>IFERROR(IFNA(vlookup(C8,merchants!$A$1:$D$41,3,FALSE),"Merchant not found"), "Merchant not found")</f>
        <v>travel</v>
      </c>
      <c r="L8" s="8" t="str">
        <f>IFERROR(IFNA(vlookup(C8,merchants!$A$1:$D$41,4,FALSE),"Merchant not found"), "Merchant not found")</f>
        <v>North</v>
      </c>
      <c r="M8" s="8">
        <f>IFERROR(IFNA(hlookup(G8,payment_methods!$A$1:$E$2,2,FALSE),"Payment method not found"), "Payment method not found")</f>
        <v>0.0025</v>
      </c>
      <c r="N8" s="8">
        <f t="shared" si="2"/>
        <v>99</v>
      </c>
      <c r="O8" s="8" t="str">
        <f t="shared" si="3"/>
        <v>Normal</v>
      </c>
    </row>
    <row r="9" ht="15.75" customHeight="1">
      <c r="A9" s="3" t="s">
        <v>108</v>
      </c>
      <c r="B9" s="5">
        <v>13.0</v>
      </c>
      <c r="C9" s="5">
        <v>13.0</v>
      </c>
      <c r="D9" s="9">
        <v>46049.30138888889</v>
      </c>
      <c r="E9" s="10">
        <f t="shared" si="1"/>
        <v>46049</v>
      </c>
      <c r="F9" s="5">
        <v>99.0</v>
      </c>
      <c r="G9" s="3" t="s">
        <v>20</v>
      </c>
      <c r="H9" s="3" t="s">
        <v>48</v>
      </c>
      <c r="I9" s="5">
        <v>51.0</v>
      </c>
      <c r="J9" s="8" t="str">
        <f>IFERROR(IFNA(vlookup(C9,merchants!$A$1:$D$41,2,FALSE),"Merchant not found"), "Merchant not found")</f>
        <v>Merchant_013</v>
      </c>
      <c r="K9" s="8" t="str">
        <f>IFERROR(IFNA(vlookup(C9,merchants!$A$1:$D$41,3,FALSE),"Merchant not found"), "Merchant not found")</f>
        <v>travel</v>
      </c>
      <c r="L9" s="8" t="str">
        <f>IFERROR(IFNA(vlookup(C9,merchants!$A$1:$D$41,4,FALSE),"Merchant not found"), "Merchant not found")</f>
        <v>East</v>
      </c>
      <c r="M9" s="8">
        <f>IFERROR(IFNA(hlookup(G9,payment_methods!$A$1:$E$2,2,FALSE),"Payment method not found"), "Payment method not found")</f>
        <v>0</v>
      </c>
      <c r="N9" s="8">
        <f t="shared" si="2"/>
        <v>99</v>
      </c>
      <c r="O9" s="8" t="str">
        <f t="shared" si="3"/>
        <v>Normal</v>
      </c>
    </row>
    <row r="10" ht="15.75" customHeight="1">
      <c r="A10" s="3" t="s">
        <v>116</v>
      </c>
      <c r="B10" s="5">
        <v>36.0</v>
      </c>
      <c r="C10" s="5">
        <v>18.0</v>
      </c>
      <c r="D10" s="9">
        <v>46033.37152777778</v>
      </c>
      <c r="E10" s="10">
        <f t="shared" si="1"/>
        <v>46033</v>
      </c>
      <c r="F10" s="5">
        <v>799.0</v>
      </c>
      <c r="G10" s="3" t="s">
        <v>20</v>
      </c>
      <c r="H10" s="3" t="s">
        <v>48</v>
      </c>
      <c r="I10" s="5">
        <v>44.0</v>
      </c>
      <c r="J10" s="8" t="str">
        <f>IFERROR(IFNA(vlookup(C10,merchants!$A$1:$D$41,2,FALSE),"Merchant not found"), "Merchant not found")</f>
        <v>Merchant_018</v>
      </c>
      <c r="K10" s="8" t="str">
        <f>IFERROR(IFNA(vlookup(C10,merchants!$A$1:$D$41,3,FALSE),"Merchant not found"), "Merchant not found")</f>
        <v>grocery</v>
      </c>
      <c r="L10" s="8" t="str">
        <f>IFERROR(IFNA(vlookup(C10,merchants!$A$1:$D$41,4,FALSE),"Merchant not found"), "Merchant not found")</f>
        <v>West</v>
      </c>
      <c r="M10" s="8">
        <f>IFERROR(IFNA(hlookup(G10,payment_methods!$A$1:$E$2,2,FALSE),"Payment method not found"), "Payment method not found")</f>
        <v>0</v>
      </c>
      <c r="N10" s="8">
        <f t="shared" si="2"/>
        <v>799</v>
      </c>
      <c r="O10" s="8" t="str">
        <f t="shared" si="3"/>
        <v>Normal</v>
      </c>
    </row>
    <row r="11" ht="15.75" customHeight="1">
      <c r="A11" s="3" t="s">
        <v>123</v>
      </c>
      <c r="B11" s="5">
        <v>348.0</v>
      </c>
      <c r="C11" s="5">
        <v>35.0</v>
      </c>
      <c r="D11" s="9">
        <v>46043.68402777778</v>
      </c>
      <c r="E11" s="10">
        <f t="shared" si="1"/>
        <v>46043</v>
      </c>
      <c r="F11" s="5">
        <v>299.0</v>
      </c>
      <c r="G11" s="3" t="s">
        <v>20</v>
      </c>
      <c r="H11" s="3" t="s">
        <v>48</v>
      </c>
      <c r="I11" s="5">
        <v>42.0</v>
      </c>
      <c r="J11" s="8" t="str">
        <f>IFERROR(IFNA(vlookup(C11,merchants!$A$1:$D$41,2,FALSE),"Merchant not found"), "Merchant not found")</f>
        <v>Merchant_035</v>
      </c>
      <c r="K11" s="8" t="str">
        <f>IFERROR(IFNA(vlookup(C11,merchants!$A$1:$D$41,3,FALSE),"Merchant not found"), "Merchant not found")</f>
        <v>recharge</v>
      </c>
      <c r="L11" s="8" t="str">
        <f>IFERROR(IFNA(vlookup(C11,merchants!$A$1:$D$41,4,FALSE),"Merchant not found"), "Merchant not found")</f>
        <v>East</v>
      </c>
      <c r="M11" s="8">
        <f>IFERROR(IFNA(hlookup(G11,payment_methods!$A$1:$E$2,2,FALSE),"Payment method not found"), "Payment method not found")</f>
        <v>0</v>
      </c>
      <c r="N11" s="8">
        <f t="shared" si="2"/>
        <v>299</v>
      </c>
      <c r="O11" s="8" t="str">
        <f t="shared" si="3"/>
        <v>Normal</v>
      </c>
    </row>
    <row r="12" ht="15.75" customHeight="1">
      <c r="A12" s="3" t="s">
        <v>129</v>
      </c>
      <c r="B12" s="5">
        <v>134.0</v>
      </c>
      <c r="C12" s="5">
        <v>12.0</v>
      </c>
      <c r="D12" s="9">
        <v>46023.16388888889</v>
      </c>
      <c r="E12" s="10">
        <f t="shared" si="1"/>
        <v>46023</v>
      </c>
      <c r="F12" s="5">
        <v>49.0</v>
      </c>
      <c r="G12" s="3" t="s">
        <v>20</v>
      </c>
      <c r="H12" s="3" t="s">
        <v>48</v>
      </c>
      <c r="I12" s="5">
        <v>74.0</v>
      </c>
      <c r="J12" s="8" t="str">
        <f>IFERROR(IFNA(vlookup(C12,merchants!$A$1:$D$41,2,FALSE),"Merchant not found"), "Merchant not found")</f>
        <v>Merchant_012</v>
      </c>
      <c r="K12" s="8" t="str">
        <f>IFERROR(IFNA(vlookup(C12,merchants!$A$1:$D$41,3,FALSE),"Merchant not found"), "Merchant not found")</f>
        <v>ecommerce</v>
      </c>
      <c r="L12" s="8" t="str">
        <f>IFERROR(IFNA(vlookup(C12,merchants!$A$1:$D$41,4,FALSE),"Merchant not found"), "Merchant not found")</f>
        <v>East</v>
      </c>
      <c r="M12" s="8">
        <f>IFERROR(IFNA(hlookup(G12,payment_methods!$A$1:$E$2,2,FALSE),"Payment method not found"), "Payment method not found")</f>
        <v>0</v>
      </c>
      <c r="N12" s="8">
        <f t="shared" si="2"/>
        <v>548</v>
      </c>
      <c r="O12" s="8" t="str">
        <f t="shared" si="3"/>
        <v>Normal</v>
      </c>
    </row>
    <row r="13" ht="15.75" customHeight="1">
      <c r="A13" s="3" t="s">
        <v>130</v>
      </c>
      <c r="B13" s="5">
        <v>306.0</v>
      </c>
      <c r="C13" s="5">
        <v>28.0</v>
      </c>
      <c r="D13" s="9">
        <v>46031.04583333333</v>
      </c>
      <c r="E13" s="10">
        <f t="shared" si="1"/>
        <v>46031</v>
      </c>
      <c r="F13" s="5">
        <v>2999.0</v>
      </c>
      <c r="G13" s="3" t="s">
        <v>22</v>
      </c>
      <c r="H13" s="3" t="s">
        <v>78</v>
      </c>
      <c r="I13" s="5">
        <v>44.0</v>
      </c>
      <c r="J13" s="8" t="str">
        <f>IFERROR(IFNA(vlookup(C13,merchants!$A$1:$D$41,2,FALSE),"Merchant not found"), "Merchant not found")</f>
        <v>Merchant_028</v>
      </c>
      <c r="K13" s="8" t="str">
        <f>IFERROR(IFNA(vlookup(C13,merchants!$A$1:$D$41,3,FALSE),"Merchant not found"), "Merchant not found")</f>
        <v>ecommerce</v>
      </c>
      <c r="L13" s="8" t="str">
        <f>IFERROR(IFNA(vlookup(C13,merchants!$A$1:$D$41,4,FALSE),"Merchant not found"), "Merchant not found")</f>
        <v>South</v>
      </c>
      <c r="M13" s="8">
        <f>IFERROR(IFNA(hlookup(G13,payment_methods!$A$1:$E$2,2,FALSE),"Payment method not found"), "Payment method not found")</f>
        <v>0.01</v>
      </c>
      <c r="N13" s="8">
        <f t="shared" si="2"/>
        <v>2999</v>
      </c>
      <c r="O13" s="8" t="str">
        <f t="shared" si="3"/>
        <v>Normal</v>
      </c>
    </row>
    <row r="14" ht="15.75" customHeight="1">
      <c r="A14" s="3" t="s">
        <v>131</v>
      </c>
      <c r="B14" s="5">
        <v>311.0</v>
      </c>
      <c r="C14" s="5">
        <v>33.0</v>
      </c>
      <c r="D14" s="9">
        <v>46046.43541666667</v>
      </c>
      <c r="E14" s="10">
        <f t="shared" si="1"/>
        <v>46046</v>
      </c>
      <c r="F14" s="5">
        <v>49.0</v>
      </c>
      <c r="G14" s="3" t="s">
        <v>15</v>
      </c>
      <c r="H14" s="3" t="s">
        <v>48</v>
      </c>
      <c r="I14" s="5">
        <v>14.0</v>
      </c>
      <c r="J14" s="8" t="str">
        <f>IFERROR(IFNA(vlookup(C14,merchants!$A$1:$D$41,2,FALSE),"Merchant not found"), "Merchant not found")</f>
        <v>Merchant_033</v>
      </c>
      <c r="K14" s="8" t="str">
        <f>IFERROR(IFNA(vlookup(C14,merchants!$A$1:$D$41,3,FALSE),"Merchant not found"), "Merchant not found")</f>
        <v>bill_payment</v>
      </c>
      <c r="L14" s="8" t="str">
        <f>IFERROR(IFNA(vlookup(C14,merchants!$A$1:$D$41,4,FALSE),"Merchant not found"), "Merchant not found")</f>
        <v>East</v>
      </c>
      <c r="M14" s="8">
        <f>IFERROR(IFNA(hlookup(G14,payment_methods!$A$1:$E$2,2,FALSE),"Payment method not found"), "Payment method not found")</f>
        <v>0.0025</v>
      </c>
      <c r="N14" s="8">
        <f t="shared" si="2"/>
        <v>49</v>
      </c>
      <c r="O14" s="8" t="str">
        <f t="shared" si="3"/>
        <v>Normal</v>
      </c>
    </row>
    <row r="15" ht="15.75" customHeight="1">
      <c r="A15" s="3" t="s">
        <v>132</v>
      </c>
      <c r="B15" s="5">
        <v>131.0</v>
      </c>
      <c r="C15" s="5">
        <v>3.0</v>
      </c>
      <c r="D15" s="9">
        <v>46035.75833333333</v>
      </c>
      <c r="E15" s="10">
        <f t="shared" si="1"/>
        <v>46035</v>
      </c>
      <c r="F15" s="5">
        <v>49.0</v>
      </c>
      <c r="G15" s="3" t="s">
        <v>20</v>
      </c>
      <c r="H15" s="3" t="s">
        <v>48</v>
      </c>
      <c r="I15" s="5">
        <v>90.0</v>
      </c>
      <c r="J15" s="8" t="str">
        <f>IFERROR(IFNA(vlookup(C15,merchants!$A$1:$D$41,2,FALSE),"Merchant not found"), "Merchant not found")</f>
        <v>Merchant_003</v>
      </c>
      <c r="K15" s="8" t="str">
        <f>IFERROR(IFNA(vlookup(C15,merchants!$A$1:$D$41,3,FALSE),"Merchant not found"), "Merchant not found")</f>
        <v>grocery</v>
      </c>
      <c r="L15" s="8" t="str">
        <f>IFERROR(IFNA(vlookup(C15,merchants!$A$1:$D$41,4,FALSE),"Merchant not found"), "Merchant not found")</f>
        <v>East</v>
      </c>
      <c r="M15" s="8">
        <f>IFERROR(IFNA(hlookup(G15,payment_methods!$A$1:$E$2,2,FALSE),"Payment method not found"), "Payment method not found")</f>
        <v>0</v>
      </c>
      <c r="N15" s="8">
        <f t="shared" si="2"/>
        <v>198</v>
      </c>
      <c r="O15" s="8" t="str">
        <f t="shared" si="3"/>
        <v>Normal</v>
      </c>
    </row>
    <row r="16" ht="15.75" customHeight="1">
      <c r="A16" s="3" t="s">
        <v>133</v>
      </c>
      <c r="B16" s="5">
        <v>276.0</v>
      </c>
      <c r="C16" s="5">
        <v>13.0</v>
      </c>
      <c r="D16" s="9">
        <v>46036.02291666667</v>
      </c>
      <c r="E16" s="10">
        <f t="shared" si="1"/>
        <v>46036</v>
      </c>
      <c r="F16" s="5">
        <v>1499.0</v>
      </c>
      <c r="G16" s="3" t="s">
        <v>20</v>
      </c>
      <c r="H16" s="3" t="s">
        <v>48</v>
      </c>
      <c r="I16" s="5">
        <v>46.0</v>
      </c>
      <c r="J16" s="8" t="str">
        <f>IFERROR(IFNA(vlookup(C16,merchants!$A$1:$D$41,2,FALSE),"Merchant not found"), "Merchant not found")</f>
        <v>Merchant_013</v>
      </c>
      <c r="K16" s="8" t="str">
        <f>IFERROR(IFNA(vlookup(C16,merchants!$A$1:$D$41,3,FALSE),"Merchant not found"), "Merchant not found")</f>
        <v>travel</v>
      </c>
      <c r="L16" s="8" t="str">
        <f>IFERROR(IFNA(vlookup(C16,merchants!$A$1:$D$41,4,FALSE),"Merchant not found"), "Merchant not found")</f>
        <v>East</v>
      </c>
      <c r="M16" s="8">
        <f>IFERROR(IFNA(hlookup(G16,payment_methods!$A$1:$E$2,2,FALSE),"Payment method not found"), "Payment method not found")</f>
        <v>0</v>
      </c>
      <c r="N16" s="8">
        <f t="shared" si="2"/>
        <v>1499</v>
      </c>
      <c r="O16" s="8" t="str">
        <f t="shared" si="3"/>
        <v>Normal</v>
      </c>
    </row>
    <row r="17" ht="15.75" customHeight="1">
      <c r="A17" s="3" t="s">
        <v>134</v>
      </c>
      <c r="B17" s="5">
        <v>170.0</v>
      </c>
      <c r="C17" s="5">
        <v>40.0</v>
      </c>
      <c r="D17" s="9">
        <v>46036.1125</v>
      </c>
      <c r="E17" s="10">
        <f t="shared" si="1"/>
        <v>46036</v>
      </c>
      <c r="F17" s="5">
        <v>99.0</v>
      </c>
      <c r="G17" s="3" t="s">
        <v>20</v>
      </c>
      <c r="H17" s="3" t="s">
        <v>48</v>
      </c>
      <c r="I17" s="5">
        <v>40.0</v>
      </c>
      <c r="J17" s="8" t="str">
        <f>IFERROR(IFNA(vlookup(C17,merchants!$A$1:$D$41,2,FALSE),"Merchant not found"), "Merchant not found")</f>
        <v>Merchant_040</v>
      </c>
      <c r="K17" s="8" t="str">
        <f>IFERROR(IFNA(vlookup(C17,merchants!$A$1:$D$41,3,FALSE),"Merchant not found"), "Merchant not found")</f>
        <v>entertainment</v>
      </c>
      <c r="L17" s="8" t="str">
        <f>IFERROR(IFNA(vlookup(C17,merchants!$A$1:$D$41,4,FALSE),"Merchant not found"), "Merchant not found")</f>
        <v>South</v>
      </c>
      <c r="M17" s="8">
        <f>IFERROR(IFNA(hlookup(G17,payment_methods!$A$1:$E$2,2,FALSE),"Payment method not found"), "Payment method not found")</f>
        <v>0</v>
      </c>
      <c r="N17" s="8">
        <f t="shared" si="2"/>
        <v>99</v>
      </c>
      <c r="O17" s="8" t="str">
        <f t="shared" si="3"/>
        <v>Normal</v>
      </c>
    </row>
    <row r="18" ht="15.75" customHeight="1">
      <c r="A18" s="3" t="s">
        <v>135</v>
      </c>
      <c r="B18" s="5">
        <v>154.0</v>
      </c>
      <c r="C18" s="5">
        <v>33.0</v>
      </c>
      <c r="D18" s="9">
        <v>46044.15694444445</v>
      </c>
      <c r="E18" s="10">
        <f t="shared" si="1"/>
        <v>46044</v>
      </c>
      <c r="F18" s="5">
        <v>99.0</v>
      </c>
      <c r="G18" s="3" t="s">
        <v>25</v>
      </c>
      <c r="H18" s="3" t="s">
        <v>48</v>
      </c>
      <c r="I18" s="5">
        <v>39.0</v>
      </c>
      <c r="J18" s="8" t="str">
        <f>IFERROR(IFNA(vlookup(C18,merchants!$A$1:$D$41,2,FALSE),"Merchant not found"), "Merchant not found")</f>
        <v>Merchant_033</v>
      </c>
      <c r="K18" s="8" t="str">
        <f>IFERROR(IFNA(vlookup(C18,merchants!$A$1:$D$41,3,FALSE),"Merchant not found"), "Merchant not found")</f>
        <v>bill_payment</v>
      </c>
      <c r="L18" s="8" t="str">
        <f>IFERROR(IFNA(vlookup(C18,merchants!$A$1:$D$41,4,FALSE),"Merchant not found"), "Merchant not found")</f>
        <v>East</v>
      </c>
      <c r="M18" s="8">
        <f>IFERROR(IFNA(hlookup(G18,payment_methods!$A$1:$E$2,2,FALSE),"Payment method not found"), "Payment method not found")</f>
        <v>0.005</v>
      </c>
      <c r="N18" s="8">
        <f t="shared" si="2"/>
        <v>99</v>
      </c>
      <c r="O18" s="8" t="str">
        <f t="shared" si="3"/>
        <v>Normal</v>
      </c>
    </row>
    <row r="19" ht="15.75" customHeight="1">
      <c r="A19" s="3" t="s">
        <v>136</v>
      </c>
      <c r="B19" s="5">
        <v>207.0</v>
      </c>
      <c r="C19" s="5">
        <v>19.0</v>
      </c>
      <c r="D19" s="9">
        <v>46044.555555555555</v>
      </c>
      <c r="E19" s="10">
        <f t="shared" si="1"/>
        <v>46044</v>
      </c>
      <c r="F19" s="5">
        <v>2999.0</v>
      </c>
      <c r="G19" s="3" t="s">
        <v>22</v>
      </c>
      <c r="H19" s="3" t="s">
        <v>48</v>
      </c>
      <c r="I19" s="5">
        <v>70.0</v>
      </c>
      <c r="J19" s="8" t="str">
        <f>IFERROR(IFNA(vlookup(C19,merchants!$A$1:$D$41,2,FALSE),"Merchant not found"), "Merchant not found")</f>
        <v>Merchant_019</v>
      </c>
      <c r="K19" s="8" t="str">
        <f>IFERROR(IFNA(vlookup(C19,merchants!$A$1:$D$41,3,FALSE),"Merchant not found"), "Merchant not found")</f>
        <v>grocery</v>
      </c>
      <c r="L19" s="8" t="str">
        <f>IFERROR(IFNA(vlookup(C19,merchants!$A$1:$D$41,4,FALSE),"Merchant not found"), "Merchant not found")</f>
        <v>North</v>
      </c>
      <c r="M19" s="8">
        <f>IFERROR(IFNA(hlookup(G19,payment_methods!$A$1:$E$2,2,FALSE),"Payment method not found"), "Payment method not found")</f>
        <v>0.01</v>
      </c>
      <c r="N19" s="8">
        <f t="shared" si="2"/>
        <v>2999</v>
      </c>
      <c r="O19" s="8" t="str">
        <f t="shared" si="3"/>
        <v>Normal</v>
      </c>
    </row>
    <row r="20" ht="15.75" customHeight="1">
      <c r="A20" s="3" t="s">
        <v>137</v>
      </c>
      <c r="B20" s="5">
        <v>341.0</v>
      </c>
      <c r="C20" s="5">
        <v>25.0</v>
      </c>
      <c r="D20" s="9">
        <v>46027.268055555556</v>
      </c>
      <c r="E20" s="10">
        <f t="shared" si="1"/>
        <v>46027</v>
      </c>
      <c r="F20" s="5">
        <v>2999.0</v>
      </c>
      <c r="G20" s="3" t="s">
        <v>20</v>
      </c>
      <c r="H20" s="3" t="s">
        <v>48</v>
      </c>
      <c r="I20" s="5">
        <v>86.0</v>
      </c>
      <c r="J20" s="8" t="str">
        <f>IFERROR(IFNA(vlookup(C20,merchants!$A$1:$D$41,2,FALSE),"Merchant not found"), "Merchant not found")</f>
        <v>Merchant_025</v>
      </c>
      <c r="K20" s="8" t="str">
        <f>IFERROR(IFNA(vlookup(C20,merchants!$A$1:$D$41,3,FALSE),"Merchant not found"), "Merchant not found")</f>
        <v>travel</v>
      </c>
      <c r="L20" s="8" t="str">
        <f>IFERROR(IFNA(vlookup(C20,merchants!$A$1:$D$41,4,FALSE),"Merchant not found"), "Merchant not found")</f>
        <v>South</v>
      </c>
      <c r="M20" s="8">
        <f>IFERROR(IFNA(hlookup(G20,payment_methods!$A$1:$E$2,2,FALSE),"Payment method not found"), "Payment method not found")</f>
        <v>0</v>
      </c>
      <c r="N20" s="8">
        <f t="shared" si="2"/>
        <v>4498</v>
      </c>
      <c r="O20" s="8" t="str">
        <f t="shared" si="3"/>
        <v>Normal</v>
      </c>
    </row>
    <row r="21" ht="15.75" customHeight="1">
      <c r="A21" s="3" t="s">
        <v>138</v>
      </c>
      <c r="B21" s="5">
        <v>292.0</v>
      </c>
      <c r="C21" s="5">
        <v>20.0</v>
      </c>
      <c r="D21" s="9">
        <v>46046.23541666667</v>
      </c>
      <c r="E21" s="10">
        <f t="shared" si="1"/>
        <v>46046</v>
      </c>
      <c r="F21" s="5">
        <v>49.0</v>
      </c>
      <c r="G21" s="3" t="s">
        <v>20</v>
      </c>
      <c r="H21" s="3" t="s">
        <v>48</v>
      </c>
      <c r="I21" s="5">
        <v>51.0</v>
      </c>
      <c r="J21" s="8" t="str">
        <f>IFERROR(IFNA(vlookup(C21,merchants!$A$1:$D$41,2,FALSE),"Merchant not found"), "Merchant not found")</f>
        <v>Merchant_020</v>
      </c>
      <c r="K21" s="8" t="str">
        <f>IFERROR(IFNA(vlookup(C21,merchants!$A$1:$D$41,3,FALSE),"Merchant not found"), "Merchant not found")</f>
        <v>food_delivery</v>
      </c>
      <c r="L21" s="8" t="str">
        <f>IFERROR(IFNA(vlookup(C21,merchants!$A$1:$D$41,4,FALSE),"Merchant not found"), "Merchant not found")</f>
        <v>East</v>
      </c>
      <c r="M21" s="8">
        <f>IFERROR(IFNA(hlookup(G21,payment_methods!$A$1:$E$2,2,FALSE),"Payment method not found"), "Payment method not found")</f>
        <v>0</v>
      </c>
      <c r="N21" s="8">
        <f t="shared" si="2"/>
        <v>49</v>
      </c>
      <c r="O21" s="8" t="str">
        <f t="shared" si="3"/>
        <v>Normal</v>
      </c>
    </row>
    <row r="22" ht="15.75" customHeight="1">
      <c r="A22" s="3" t="s">
        <v>139</v>
      </c>
      <c r="B22" s="5">
        <v>147.0</v>
      </c>
      <c r="C22" s="5">
        <v>14.0</v>
      </c>
      <c r="D22" s="9">
        <v>46040.013194444444</v>
      </c>
      <c r="E22" s="10">
        <f t="shared" si="1"/>
        <v>46040</v>
      </c>
      <c r="F22" s="5">
        <v>99.0</v>
      </c>
      <c r="G22" s="3" t="s">
        <v>22</v>
      </c>
      <c r="H22" s="3" t="s">
        <v>48</v>
      </c>
      <c r="I22" s="5">
        <v>55.0</v>
      </c>
      <c r="J22" s="8" t="str">
        <f>IFERROR(IFNA(vlookup(C22,merchants!$A$1:$D$41,2,FALSE),"Merchant not found"), "Merchant not found")</f>
        <v>Merchant_014</v>
      </c>
      <c r="K22" s="8" t="str">
        <f>IFERROR(IFNA(vlookup(C22,merchants!$A$1:$D$41,3,FALSE),"Merchant not found"), "Merchant not found")</f>
        <v>grocery</v>
      </c>
      <c r="L22" s="8" t="str">
        <f>IFERROR(IFNA(vlookup(C22,merchants!$A$1:$D$41,4,FALSE),"Merchant not found"), "Merchant not found")</f>
        <v>East</v>
      </c>
      <c r="M22" s="8">
        <f>IFERROR(IFNA(hlookup(G22,payment_methods!$A$1:$E$2,2,FALSE),"Payment method not found"), "Payment method not found")</f>
        <v>0.01</v>
      </c>
      <c r="N22" s="8">
        <f t="shared" si="2"/>
        <v>99</v>
      </c>
      <c r="O22" s="8" t="str">
        <f t="shared" si="3"/>
        <v>Normal</v>
      </c>
    </row>
    <row r="23" ht="15.75" customHeight="1">
      <c r="A23" s="3" t="s">
        <v>140</v>
      </c>
      <c r="B23" s="5">
        <v>336.0</v>
      </c>
      <c r="C23" s="5">
        <v>21.0</v>
      </c>
      <c r="D23" s="9">
        <v>46048.77638888889</v>
      </c>
      <c r="E23" s="10">
        <f t="shared" si="1"/>
        <v>46048</v>
      </c>
      <c r="F23" s="5">
        <v>99.0</v>
      </c>
      <c r="G23" s="3" t="s">
        <v>20</v>
      </c>
      <c r="H23" s="3" t="s">
        <v>48</v>
      </c>
      <c r="I23" s="5">
        <v>59.0</v>
      </c>
      <c r="J23" s="8" t="str">
        <f>IFERROR(IFNA(vlookup(C23,merchants!$A$1:$D$41,2,FALSE),"Merchant not found"), "Merchant not found")</f>
        <v>Merchant_021</v>
      </c>
      <c r="K23" s="8" t="str">
        <f>IFERROR(IFNA(vlookup(C23,merchants!$A$1:$D$41,3,FALSE),"Merchant not found"), "Merchant not found")</f>
        <v>food_delivery</v>
      </c>
      <c r="L23" s="8" t="str">
        <f>IFERROR(IFNA(vlookup(C23,merchants!$A$1:$D$41,4,FALSE),"Merchant not found"), "Merchant not found")</f>
        <v>East</v>
      </c>
      <c r="M23" s="8">
        <f>IFERROR(IFNA(hlookup(G23,payment_methods!$A$1:$E$2,2,FALSE),"Payment method not found"), "Payment method not found")</f>
        <v>0</v>
      </c>
      <c r="N23" s="8">
        <f t="shared" si="2"/>
        <v>99</v>
      </c>
      <c r="O23" s="8" t="str">
        <f t="shared" si="3"/>
        <v>Normal</v>
      </c>
    </row>
    <row r="24" ht="15.75" customHeight="1">
      <c r="A24" s="3" t="s">
        <v>141</v>
      </c>
      <c r="B24" s="5">
        <v>110.0</v>
      </c>
      <c r="C24" s="5">
        <v>33.0</v>
      </c>
      <c r="D24" s="9">
        <v>46037.61319444444</v>
      </c>
      <c r="E24" s="10">
        <f t="shared" si="1"/>
        <v>46037</v>
      </c>
      <c r="F24" s="5">
        <v>799.0</v>
      </c>
      <c r="G24" s="3" t="s">
        <v>20</v>
      </c>
      <c r="H24" s="3" t="s">
        <v>48</v>
      </c>
      <c r="I24" s="5">
        <v>60.0</v>
      </c>
      <c r="J24" s="8" t="str">
        <f>IFERROR(IFNA(vlookup(C24,merchants!$A$1:$D$41,2,FALSE),"Merchant not found"), "Merchant not found")</f>
        <v>Merchant_033</v>
      </c>
      <c r="K24" s="8" t="str">
        <f>IFERROR(IFNA(vlookup(C24,merchants!$A$1:$D$41,3,FALSE),"Merchant not found"), "Merchant not found")</f>
        <v>bill_payment</v>
      </c>
      <c r="L24" s="8" t="str">
        <f>IFERROR(IFNA(vlookup(C24,merchants!$A$1:$D$41,4,FALSE),"Merchant not found"), "Merchant not found")</f>
        <v>East</v>
      </c>
      <c r="M24" s="8">
        <f>IFERROR(IFNA(hlookup(G24,payment_methods!$A$1:$E$2,2,FALSE),"Payment method not found"), "Payment method not found")</f>
        <v>0</v>
      </c>
      <c r="N24" s="8">
        <f t="shared" si="2"/>
        <v>799</v>
      </c>
      <c r="O24" s="8" t="str">
        <f t="shared" si="3"/>
        <v>Normal</v>
      </c>
    </row>
    <row r="25" ht="15.75" customHeight="1">
      <c r="A25" s="3" t="s">
        <v>142</v>
      </c>
      <c r="B25" s="5">
        <v>338.0</v>
      </c>
      <c r="C25" s="5">
        <v>6.0</v>
      </c>
      <c r="D25" s="9">
        <v>46048.96527777778</v>
      </c>
      <c r="E25" s="10">
        <f t="shared" si="1"/>
        <v>46048</v>
      </c>
      <c r="F25" s="5">
        <v>799.0</v>
      </c>
      <c r="G25" s="3" t="s">
        <v>20</v>
      </c>
      <c r="H25" s="3" t="s">
        <v>81</v>
      </c>
      <c r="I25" s="5">
        <v>36.0</v>
      </c>
      <c r="J25" s="8" t="str">
        <f>IFERROR(IFNA(vlookup(C25,merchants!$A$1:$D$41,2,FALSE),"Merchant not found"), "Merchant not found")</f>
        <v>Merchant_006</v>
      </c>
      <c r="K25" s="8" t="str">
        <f>IFERROR(IFNA(vlookup(C25,merchants!$A$1:$D$41,3,FALSE),"Merchant not found"), "Merchant not found")</f>
        <v>food_delivery</v>
      </c>
      <c r="L25" s="8" t="str">
        <f>IFERROR(IFNA(vlookup(C25,merchants!$A$1:$D$41,4,FALSE),"Merchant not found"), "Merchant not found")</f>
        <v>South</v>
      </c>
      <c r="M25" s="8">
        <f>IFERROR(IFNA(hlookup(G25,payment_methods!$A$1:$E$2,2,FALSE),"Payment method not found"), "Payment method not found")</f>
        <v>0</v>
      </c>
      <c r="N25" s="8">
        <f t="shared" si="2"/>
        <v>897</v>
      </c>
      <c r="O25" s="8" t="str">
        <f t="shared" si="3"/>
        <v>Normal</v>
      </c>
    </row>
    <row r="26" ht="15.75" customHeight="1">
      <c r="A26" s="3" t="s">
        <v>143</v>
      </c>
      <c r="B26" s="5">
        <v>318.0</v>
      </c>
      <c r="C26" s="5">
        <v>22.0</v>
      </c>
      <c r="D26" s="9">
        <v>46039.90277777778</v>
      </c>
      <c r="E26" s="10">
        <f t="shared" si="1"/>
        <v>46039</v>
      </c>
      <c r="F26" s="5">
        <v>799.0</v>
      </c>
      <c r="G26" s="3" t="s">
        <v>15</v>
      </c>
      <c r="H26" s="3" t="s">
        <v>48</v>
      </c>
      <c r="I26" s="5">
        <v>11.0</v>
      </c>
      <c r="J26" s="8" t="str">
        <f>IFERROR(IFNA(vlookup(C26,merchants!$A$1:$D$41,2,FALSE),"Merchant not found"), "Merchant not found")</f>
        <v>Merchant_022</v>
      </c>
      <c r="K26" s="8" t="str">
        <f>IFERROR(IFNA(vlookup(C26,merchants!$A$1:$D$41,3,FALSE),"Merchant not found"), "Merchant not found")</f>
        <v>travel</v>
      </c>
      <c r="L26" s="8" t="str">
        <f>IFERROR(IFNA(vlookup(C26,merchants!$A$1:$D$41,4,FALSE),"Merchant not found"), "Merchant not found")</f>
        <v>South</v>
      </c>
      <c r="M26" s="8">
        <f>IFERROR(IFNA(hlookup(G26,payment_methods!$A$1:$E$2,2,FALSE),"Payment method not found"), "Payment method not found")</f>
        <v>0.0025</v>
      </c>
      <c r="N26" s="8">
        <f t="shared" si="2"/>
        <v>1598</v>
      </c>
      <c r="O26" s="8" t="str">
        <f t="shared" si="3"/>
        <v>Normal</v>
      </c>
    </row>
    <row r="27" ht="15.75" customHeight="1">
      <c r="A27" s="3" t="s">
        <v>144</v>
      </c>
      <c r="B27" s="5">
        <v>159.0</v>
      </c>
      <c r="C27" s="5">
        <v>15.0</v>
      </c>
      <c r="D27" s="9">
        <v>46049.32152777778</v>
      </c>
      <c r="E27" s="10">
        <f t="shared" si="1"/>
        <v>46049</v>
      </c>
      <c r="F27" s="5">
        <v>799.0</v>
      </c>
      <c r="G27" s="3" t="s">
        <v>20</v>
      </c>
      <c r="H27" s="3" t="s">
        <v>48</v>
      </c>
      <c r="I27" s="5">
        <v>25.0</v>
      </c>
      <c r="J27" s="8" t="str">
        <f>IFERROR(IFNA(vlookup(C27,merchants!$A$1:$D$41,2,FALSE),"Merchant not found"), "Merchant not found")</f>
        <v>Merchant_015</v>
      </c>
      <c r="K27" s="8" t="str">
        <f>IFERROR(IFNA(vlookup(C27,merchants!$A$1:$D$41,3,FALSE),"Merchant not found"), "Merchant not found")</f>
        <v>travel</v>
      </c>
      <c r="L27" s="8" t="str">
        <f>IFERROR(IFNA(vlookup(C27,merchants!$A$1:$D$41,4,FALSE),"Merchant not found"), "Merchant not found")</f>
        <v>North</v>
      </c>
      <c r="M27" s="8">
        <f>IFERROR(IFNA(hlookup(G27,payment_methods!$A$1:$E$2,2,FALSE),"Payment method not found"), "Payment method not found")</f>
        <v>0</v>
      </c>
      <c r="N27" s="8">
        <f t="shared" si="2"/>
        <v>799</v>
      </c>
      <c r="O27" s="8" t="str">
        <f t="shared" si="3"/>
        <v>Normal</v>
      </c>
    </row>
    <row r="28" ht="15.75" customHeight="1">
      <c r="A28" s="3" t="s">
        <v>145</v>
      </c>
      <c r="B28" s="5">
        <v>126.0</v>
      </c>
      <c r="C28" s="5">
        <v>31.0</v>
      </c>
      <c r="D28" s="9">
        <v>46027.001388888886</v>
      </c>
      <c r="E28" s="10">
        <f t="shared" si="1"/>
        <v>46027</v>
      </c>
      <c r="F28" s="5">
        <v>49.0</v>
      </c>
      <c r="G28" s="3" t="s">
        <v>22</v>
      </c>
      <c r="H28" s="3" t="s">
        <v>48</v>
      </c>
      <c r="I28" s="5">
        <v>78.0</v>
      </c>
      <c r="J28" s="8" t="str">
        <f>IFERROR(IFNA(vlookup(C28,merchants!$A$1:$D$41,2,FALSE),"Merchant not found"), "Merchant not found")</f>
        <v>Merchant_031</v>
      </c>
      <c r="K28" s="8" t="str">
        <f>IFERROR(IFNA(vlookup(C28,merchants!$A$1:$D$41,3,FALSE),"Merchant not found"), "Merchant not found")</f>
        <v>bill_payment</v>
      </c>
      <c r="L28" s="8" t="str">
        <f>IFERROR(IFNA(vlookup(C28,merchants!$A$1:$D$41,4,FALSE),"Merchant not found"), "Merchant not found")</f>
        <v>East</v>
      </c>
      <c r="M28" s="8">
        <f>IFERROR(IFNA(hlookup(G28,payment_methods!$A$1:$E$2,2,FALSE),"Payment method not found"), "Payment method not found")</f>
        <v>0.01</v>
      </c>
      <c r="N28" s="8">
        <f t="shared" si="2"/>
        <v>49</v>
      </c>
      <c r="O28" s="8" t="str">
        <f t="shared" si="3"/>
        <v>Normal</v>
      </c>
    </row>
    <row r="29" ht="15.75" customHeight="1">
      <c r="A29" s="3" t="s">
        <v>146</v>
      </c>
      <c r="B29" s="5">
        <v>213.0</v>
      </c>
      <c r="C29" s="5">
        <v>37.0</v>
      </c>
      <c r="D29" s="9">
        <v>46050.103472222225</v>
      </c>
      <c r="E29" s="10">
        <f t="shared" si="1"/>
        <v>46050</v>
      </c>
      <c r="F29" s="5">
        <v>99.0</v>
      </c>
      <c r="G29" s="3" t="s">
        <v>20</v>
      </c>
      <c r="H29" s="3" t="s">
        <v>48</v>
      </c>
      <c r="I29" s="5">
        <v>24.0</v>
      </c>
      <c r="J29" s="8" t="str">
        <f>IFERROR(IFNA(vlookup(C29,merchants!$A$1:$D$41,2,FALSE),"Merchant not found"), "Merchant not found")</f>
        <v>Merchant_037</v>
      </c>
      <c r="K29" s="8" t="str">
        <f>IFERROR(IFNA(vlookup(C29,merchants!$A$1:$D$41,3,FALSE),"Merchant not found"), "Merchant not found")</f>
        <v>entertainment</v>
      </c>
      <c r="L29" s="8" t="str">
        <f>IFERROR(IFNA(vlookup(C29,merchants!$A$1:$D$41,4,FALSE),"Merchant not found"), "Merchant not found")</f>
        <v>South</v>
      </c>
      <c r="M29" s="8">
        <f>IFERROR(IFNA(hlookup(G29,payment_methods!$A$1:$E$2,2,FALSE),"Payment method not found"), "Payment method not found")</f>
        <v>0</v>
      </c>
      <c r="N29" s="8">
        <f t="shared" si="2"/>
        <v>697</v>
      </c>
      <c r="O29" s="8" t="str">
        <f t="shared" si="3"/>
        <v>Normal</v>
      </c>
    </row>
    <row r="30" ht="15.75" customHeight="1">
      <c r="A30" s="3" t="s">
        <v>147</v>
      </c>
      <c r="B30" s="5">
        <v>254.0</v>
      </c>
      <c r="C30" s="5">
        <v>26.0</v>
      </c>
      <c r="D30" s="9">
        <v>46045.933333333334</v>
      </c>
      <c r="E30" s="10">
        <f t="shared" si="1"/>
        <v>46045</v>
      </c>
      <c r="F30" s="5">
        <v>99.0</v>
      </c>
      <c r="G30" s="3" t="s">
        <v>15</v>
      </c>
      <c r="H30" s="3" t="s">
        <v>48</v>
      </c>
      <c r="I30" s="5">
        <v>31.0</v>
      </c>
      <c r="J30" s="8" t="str">
        <f>IFERROR(IFNA(vlookup(C30,merchants!$A$1:$D$41,2,FALSE),"Merchant not found"), "Merchant not found")</f>
        <v>Merchant_026</v>
      </c>
      <c r="K30" s="8" t="str">
        <f>IFERROR(IFNA(vlookup(C30,merchants!$A$1:$D$41,3,FALSE),"Merchant not found"), "Merchant not found")</f>
        <v>food_delivery</v>
      </c>
      <c r="L30" s="8" t="str">
        <f>IFERROR(IFNA(vlookup(C30,merchants!$A$1:$D$41,4,FALSE),"Merchant not found"), "Merchant not found")</f>
        <v>East</v>
      </c>
      <c r="M30" s="8">
        <f>IFERROR(IFNA(hlookup(G30,payment_methods!$A$1:$E$2,2,FALSE),"Payment method not found"), "Payment method not found")</f>
        <v>0.0025</v>
      </c>
      <c r="N30" s="8">
        <f t="shared" si="2"/>
        <v>99</v>
      </c>
      <c r="O30" s="8" t="str">
        <f t="shared" si="3"/>
        <v>Normal</v>
      </c>
    </row>
    <row r="31" ht="15.75" customHeight="1">
      <c r="A31" s="3" t="s">
        <v>148</v>
      </c>
      <c r="B31" s="5">
        <v>3.0</v>
      </c>
      <c r="C31" s="5">
        <v>7.0</v>
      </c>
      <c r="D31" s="9">
        <v>46027.86388888889</v>
      </c>
      <c r="E31" s="10">
        <f t="shared" si="1"/>
        <v>46027</v>
      </c>
      <c r="F31" s="5">
        <v>1499.0</v>
      </c>
      <c r="G31" s="3" t="s">
        <v>20</v>
      </c>
      <c r="H31" s="3" t="s">
        <v>48</v>
      </c>
      <c r="I31" s="5">
        <v>99.0</v>
      </c>
      <c r="J31" s="8" t="str">
        <f>IFERROR(IFNA(vlookup(C31,merchants!$A$1:$D$41,2,FALSE),"Merchant not found"), "Merchant not found")</f>
        <v>Merchant_007</v>
      </c>
      <c r="K31" s="8" t="str">
        <f>IFERROR(IFNA(vlookup(C31,merchants!$A$1:$D$41,3,FALSE),"Merchant not found"), "Merchant not found")</f>
        <v>food_delivery</v>
      </c>
      <c r="L31" s="8" t="str">
        <f>IFERROR(IFNA(vlookup(C31,merchants!$A$1:$D$41,4,FALSE),"Merchant not found"), "Merchant not found")</f>
        <v>East</v>
      </c>
      <c r="M31" s="8">
        <f>IFERROR(IFNA(hlookup(G31,payment_methods!$A$1:$E$2,2,FALSE),"Payment method not found"), "Payment method not found")</f>
        <v>0</v>
      </c>
      <c r="N31" s="8">
        <f t="shared" si="2"/>
        <v>4498</v>
      </c>
      <c r="O31" s="8" t="str">
        <f t="shared" si="3"/>
        <v>Normal</v>
      </c>
    </row>
    <row r="32" ht="15.75" customHeight="1">
      <c r="A32" s="3" t="s">
        <v>149</v>
      </c>
      <c r="B32" s="5">
        <v>266.0</v>
      </c>
      <c r="C32" s="5">
        <v>30.0</v>
      </c>
      <c r="D32" s="9">
        <v>46036.299305555556</v>
      </c>
      <c r="E32" s="10">
        <f t="shared" si="1"/>
        <v>46036</v>
      </c>
      <c r="F32" s="5">
        <v>499.0</v>
      </c>
      <c r="G32" s="3" t="s">
        <v>22</v>
      </c>
      <c r="H32" s="3" t="s">
        <v>48</v>
      </c>
      <c r="I32" s="5">
        <v>6.0</v>
      </c>
      <c r="J32" s="8" t="str">
        <f>IFERROR(IFNA(vlookup(C32,merchants!$A$1:$D$41,2,FALSE),"Merchant not found"), "Merchant not found")</f>
        <v>Merchant_030</v>
      </c>
      <c r="K32" s="8" t="str">
        <f>IFERROR(IFNA(vlookup(C32,merchants!$A$1:$D$41,3,FALSE),"Merchant not found"), "Merchant not found")</f>
        <v>travel</v>
      </c>
      <c r="L32" s="8" t="str">
        <f>IFERROR(IFNA(vlookup(C32,merchants!$A$1:$D$41,4,FALSE),"Merchant not found"), "Merchant not found")</f>
        <v>West</v>
      </c>
      <c r="M32" s="8">
        <f>IFERROR(IFNA(hlookup(G32,payment_methods!$A$1:$E$2,2,FALSE),"Payment method not found"), "Payment method not found")</f>
        <v>0.01</v>
      </c>
      <c r="N32" s="8">
        <f t="shared" si="2"/>
        <v>2497</v>
      </c>
      <c r="O32" s="8" t="str">
        <f t="shared" si="3"/>
        <v>Normal</v>
      </c>
    </row>
    <row r="33" ht="15.75" customHeight="1">
      <c r="A33" s="3" t="s">
        <v>150</v>
      </c>
      <c r="B33" s="5">
        <v>63.0</v>
      </c>
      <c r="C33" s="5">
        <v>30.0</v>
      </c>
      <c r="D33" s="9">
        <v>46040.33194444444</v>
      </c>
      <c r="E33" s="10">
        <f t="shared" si="1"/>
        <v>46040</v>
      </c>
      <c r="F33" s="5">
        <v>799.0</v>
      </c>
      <c r="G33" s="3" t="s">
        <v>20</v>
      </c>
      <c r="H33" s="3" t="s">
        <v>48</v>
      </c>
      <c r="I33" s="5">
        <v>17.0</v>
      </c>
      <c r="J33" s="8" t="str">
        <f>IFERROR(IFNA(vlookup(C33,merchants!$A$1:$D$41,2,FALSE),"Merchant not found"), "Merchant not found")</f>
        <v>Merchant_030</v>
      </c>
      <c r="K33" s="8" t="str">
        <f>IFERROR(IFNA(vlookup(C33,merchants!$A$1:$D$41,3,FALSE),"Merchant not found"), "Merchant not found")</f>
        <v>travel</v>
      </c>
      <c r="L33" s="8" t="str">
        <f>IFERROR(IFNA(vlookup(C33,merchants!$A$1:$D$41,4,FALSE),"Merchant not found"), "Merchant not found")</f>
        <v>West</v>
      </c>
      <c r="M33" s="8">
        <f>IFERROR(IFNA(hlookup(G33,payment_methods!$A$1:$E$2,2,FALSE),"Payment method not found"), "Payment method not found")</f>
        <v>0</v>
      </c>
      <c r="N33" s="8">
        <f t="shared" si="2"/>
        <v>799</v>
      </c>
      <c r="O33" s="8" t="str">
        <f t="shared" si="3"/>
        <v>Normal</v>
      </c>
    </row>
    <row r="34" ht="15.75" customHeight="1">
      <c r="A34" s="3" t="s">
        <v>151</v>
      </c>
      <c r="B34" s="5">
        <v>272.0</v>
      </c>
      <c r="C34" s="5">
        <v>36.0</v>
      </c>
      <c r="D34" s="9">
        <v>46048.6125</v>
      </c>
      <c r="E34" s="10">
        <f t="shared" si="1"/>
        <v>46048</v>
      </c>
      <c r="F34" s="5">
        <v>149.0</v>
      </c>
      <c r="G34" s="3" t="s">
        <v>20</v>
      </c>
      <c r="H34" s="3" t="s">
        <v>48</v>
      </c>
      <c r="I34" s="5">
        <v>76.0</v>
      </c>
      <c r="J34" s="8" t="str">
        <f>IFERROR(IFNA(vlookup(C34,merchants!$A$1:$D$41,2,FALSE),"Merchant not found"), "Merchant not found")</f>
        <v>Merchant_036</v>
      </c>
      <c r="K34" s="8" t="str">
        <f>IFERROR(IFNA(vlookup(C34,merchants!$A$1:$D$41,3,FALSE),"Merchant not found"), "Merchant not found")</f>
        <v>entertainment</v>
      </c>
      <c r="L34" s="8" t="str">
        <f>IFERROR(IFNA(vlookup(C34,merchants!$A$1:$D$41,4,FALSE),"Merchant not found"), "Merchant not found")</f>
        <v>East</v>
      </c>
      <c r="M34" s="8">
        <f>IFERROR(IFNA(hlookup(G34,payment_methods!$A$1:$E$2,2,FALSE),"Payment method not found"), "Payment method not found")</f>
        <v>0</v>
      </c>
      <c r="N34" s="8">
        <f t="shared" si="2"/>
        <v>198</v>
      </c>
      <c r="O34" s="8" t="str">
        <f t="shared" si="3"/>
        <v>Normal</v>
      </c>
    </row>
    <row r="35" ht="15.75" customHeight="1">
      <c r="A35" s="3" t="s">
        <v>152</v>
      </c>
      <c r="B35" s="5">
        <v>259.0</v>
      </c>
      <c r="C35" s="5">
        <v>28.0</v>
      </c>
      <c r="D35" s="9">
        <v>46033.61041666667</v>
      </c>
      <c r="E35" s="10">
        <f t="shared" si="1"/>
        <v>46033</v>
      </c>
      <c r="F35" s="5">
        <v>49.0</v>
      </c>
      <c r="G35" s="3" t="s">
        <v>15</v>
      </c>
      <c r="H35" s="3" t="s">
        <v>48</v>
      </c>
      <c r="I35" s="5">
        <v>70.0</v>
      </c>
      <c r="J35" s="8" t="str">
        <f>IFERROR(IFNA(vlookup(C35,merchants!$A$1:$D$41,2,FALSE),"Merchant not found"), "Merchant not found")</f>
        <v>Merchant_028</v>
      </c>
      <c r="K35" s="8" t="str">
        <f>IFERROR(IFNA(vlookup(C35,merchants!$A$1:$D$41,3,FALSE),"Merchant not found"), "Merchant not found")</f>
        <v>ecommerce</v>
      </c>
      <c r="L35" s="8" t="str">
        <f>IFERROR(IFNA(vlookup(C35,merchants!$A$1:$D$41,4,FALSE),"Merchant not found"), "Merchant not found")</f>
        <v>South</v>
      </c>
      <c r="M35" s="8">
        <f>IFERROR(IFNA(hlookup(G35,payment_methods!$A$1:$E$2,2,FALSE),"Payment method not found"), "Payment method not found")</f>
        <v>0.0025</v>
      </c>
      <c r="N35" s="8">
        <f t="shared" si="2"/>
        <v>49</v>
      </c>
      <c r="O35" s="8" t="str">
        <f t="shared" si="3"/>
        <v>Normal</v>
      </c>
    </row>
    <row r="36" ht="15.75" customHeight="1">
      <c r="A36" s="3" t="s">
        <v>153</v>
      </c>
      <c r="B36" s="5">
        <v>244.0</v>
      </c>
      <c r="C36" s="5">
        <v>29.0</v>
      </c>
      <c r="D36" s="9">
        <v>46037.24097222222</v>
      </c>
      <c r="E36" s="10">
        <f t="shared" si="1"/>
        <v>46037</v>
      </c>
      <c r="F36" s="5">
        <v>299.0</v>
      </c>
      <c r="G36" s="3" t="s">
        <v>25</v>
      </c>
      <c r="H36" s="3" t="s">
        <v>48</v>
      </c>
      <c r="I36" s="5">
        <v>33.0</v>
      </c>
      <c r="J36" s="8" t="str">
        <f>IFERROR(IFNA(vlookup(C36,merchants!$A$1:$D$41,2,FALSE),"Merchant not found"), "Merchant not found")</f>
        <v>Merchant_029</v>
      </c>
      <c r="K36" s="8" t="str">
        <f>IFERROR(IFNA(vlookup(C36,merchants!$A$1:$D$41,3,FALSE),"Merchant not found"), "Merchant not found")</f>
        <v>ecommerce</v>
      </c>
      <c r="L36" s="8" t="str">
        <f>IFERROR(IFNA(vlookup(C36,merchants!$A$1:$D$41,4,FALSE),"Merchant not found"), "Merchant not found")</f>
        <v>North</v>
      </c>
      <c r="M36" s="8">
        <f>IFERROR(IFNA(hlookup(G36,payment_methods!$A$1:$E$2,2,FALSE),"Payment method not found"), "Payment method not found")</f>
        <v>0.005</v>
      </c>
      <c r="N36" s="8">
        <f t="shared" si="2"/>
        <v>1098</v>
      </c>
      <c r="O36" s="8" t="str">
        <f t="shared" si="3"/>
        <v>Normal</v>
      </c>
    </row>
    <row r="37" ht="15.75" customHeight="1">
      <c r="A37" s="3" t="s">
        <v>154</v>
      </c>
      <c r="B37" s="5">
        <v>327.0</v>
      </c>
      <c r="C37" s="5">
        <v>18.0</v>
      </c>
      <c r="D37" s="9">
        <v>46047.32847222222</v>
      </c>
      <c r="E37" s="10">
        <f t="shared" si="1"/>
        <v>46047</v>
      </c>
      <c r="F37" s="5">
        <v>149.0</v>
      </c>
      <c r="G37" s="3" t="s">
        <v>22</v>
      </c>
      <c r="H37" s="3" t="s">
        <v>48</v>
      </c>
      <c r="I37" s="5">
        <v>98.0</v>
      </c>
      <c r="J37" s="8" t="str">
        <f>IFERROR(IFNA(vlookup(C37,merchants!$A$1:$D$41,2,FALSE),"Merchant not found"), "Merchant not found")</f>
        <v>Merchant_018</v>
      </c>
      <c r="K37" s="8" t="str">
        <f>IFERROR(IFNA(vlookup(C37,merchants!$A$1:$D$41,3,FALSE),"Merchant not found"), "Merchant not found")</f>
        <v>grocery</v>
      </c>
      <c r="L37" s="8" t="str">
        <f>IFERROR(IFNA(vlookup(C37,merchants!$A$1:$D$41,4,FALSE),"Merchant not found"), "Merchant not found")</f>
        <v>West</v>
      </c>
      <c r="M37" s="8">
        <f>IFERROR(IFNA(hlookup(G37,payment_methods!$A$1:$E$2,2,FALSE),"Payment method not found"), "Payment method not found")</f>
        <v>0.01</v>
      </c>
      <c r="N37" s="8">
        <f t="shared" si="2"/>
        <v>1648</v>
      </c>
      <c r="O37" s="8" t="str">
        <f t="shared" si="3"/>
        <v>Normal</v>
      </c>
    </row>
    <row r="38" ht="15.75" customHeight="1">
      <c r="A38" s="3" t="s">
        <v>155</v>
      </c>
      <c r="B38" s="5">
        <v>321.0</v>
      </c>
      <c r="C38" s="5">
        <v>16.0</v>
      </c>
      <c r="D38" s="9">
        <v>46047.68819444445</v>
      </c>
      <c r="E38" s="10">
        <f t="shared" si="1"/>
        <v>46047</v>
      </c>
      <c r="F38" s="5">
        <v>49.0</v>
      </c>
      <c r="G38" s="3" t="s">
        <v>20</v>
      </c>
      <c r="H38" s="3" t="s">
        <v>48</v>
      </c>
      <c r="I38" s="5">
        <v>35.0</v>
      </c>
      <c r="J38" s="8" t="str">
        <f>IFERROR(IFNA(vlookup(C38,merchants!$A$1:$D$41,2,FALSE),"Merchant not found"), "Merchant not found")</f>
        <v>Merchant_016</v>
      </c>
      <c r="K38" s="8" t="str">
        <f>IFERROR(IFNA(vlookup(C38,merchants!$A$1:$D$41,3,FALSE),"Merchant not found"), "Merchant not found")</f>
        <v>bill_payment</v>
      </c>
      <c r="L38" s="8" t="str">
        <f>IFERROR(IFNA(vlookup(C38,merchants!$A$1:$D$41,4,FALSE),"Merchant not found"), "Merchant not found")</f>
        <v>West</v>
      </c>
      <c r="M38" s="8">
        <f>IFERROR(IFNA(hlookup(G38,payment_methods!$A$1:$E$2,2,FALSE),"Payment method not found"), "Payment method not found")</f>
        <v>0</v>
      </c>
      <c r="N38" s="8">
        <f t="shared" si="2"/>
        <v>98</v>
      </c>
      <c r="O38" s="8" t="str">
        <f t="shared" si="3"/>
        <v>Normal</v>
      </c>
    </row>
    <row r="39" ht="15.75" customHeight="1">
      <c r="A39" s="3" t="s">
        <v>156</v>
      </c>
      <c r="B39" s="5">
        <v>147.0</v>
      </c>
      <c r="C39" s="5">
        <v>16.0</v>
      </c>
      <c r="D39" s="9">
        <v>46037.114583333336</v>
      </c>
      <c r="E39" s="10">
        <f t="shared" si="1"/>
        <v>46037</v>
      </c>
      <c r="F39" s="5">
        <v>2999.0</v>
      </c>
      <c r="G39" s="3" t="s">
        <v>22</v>
      </c>
      <c r="H39" s="3" t="s">
        <v>48</v>
      </c>
      <c r="I39" s="5">
        <v>34.0</v>
      </c>
      <c r="J39" s="8" t="str">
        <f>IFERROR(IFNA(vlookup(C39,merchants!$A$1:$D$41,2,FALSE),"Merchant not found"), "Merchant not found")</f>
        <v>Merchant_016</v>
      </c>
      <c r="K39" s="8" t="str">
        <f>IFERROR(IFNA(vlookup(C39,merchants!$A$1:$D$41,3,FALSE),"Merchant not found"), "Merchant not found")</f>
        <v>bill_payment</v>
      </c>
      <c r="L39" s="8" t="str">
        <f>IFERROR(IFNA(vlookup(C39,merchants!$A$1:$D$41,4,FALSE),"Merchant not found"), "Merchant not found")</f>
        <v>West</v>
      </c>
      <c r="M39" s="8">
        <f>IFERROR(IFNA(hlookup(G39,payment_methods!$A$1:$E$2,2,FALSE),"Payment method not found"), "Payment method not found")</f>
        <v>0.01</v>
      </c>
      <c r="N39" s="8">
        <f t="shared" si="2"/>
        <v>2999</v>
      </c>
      <c r="O39" s="8" t="str">
        <f t="shared" si="3"/>
        <v>Normal</v>
      </c>
    </row>
    <row r="40" ht="15.75" customHeight="1">
      <c r="A40" s="3" t="s">
        <v>157</v>
      </c>
      <c r="B40" s="5">
        <v>277.0</v>
      </c>
      <c r="C40" s="5">
        <v>6.0</v>
      </c>
      <c r="D40" s="9">
        <v>46033.45625</v>
      </c>
      <c r="E40" s="10">
        <f t="shared" si="1"/>
        <v>46033</v>
      </c>
      <c r="F40" s="5">
        <v>1499.0</v>
      </c>
      <c r="G40" s="3" t="s">
        <v>22</v>
      </c>
      <c r="H40" s="3" t="s">
        <v>48</v>
      </c>
      <c r="I40" s="5">
        <v>17.0</v>
      </c>
      <c r="J40" s="8" t="str">
        <f>IFERROR(IFNA(vlookup(C40,merchants!$A$1:$D$41,2,FALSE),"Merchant not found"), "Merchant not found")</f>
        <v>Merchant_006</v>
      </c>
      <c r="K40" s="8" t="str">
        <f>IFERROR(IFNA(vlookup(C40,merchants!$A$1:$D$41,3,FALSE),"Merchant not found"), "Merchant not found")</f>
        <v>food_delivery</v>
      </c>
      <c r="L40" s="8" t="str">
        <f>IFERROR(IFNA(vlookup(C40,merchants!$A$1:$D$41,4,FALSE),"Merchant not found"), "Merchant not found")</f>
        <v>South</v>
      </c>
      <c r="M40" s="8">
        <f>IFERROR(IFNA(hlookup(G40,payment_methods!$A$1:$E$2,2,FALSE),"Payment method not found"), "Payment method not found")</f>
        <v>0.01</v>
      </c>
      <c r="N40" s="8">
        <f t="shared" si="2"/>
        <v>1499</v>
      </c>
      <c r="O40" s="8" t="str">
        <f t="shared" si="3"/>
        <v>Normal</v>
      </c>
    </row>
    <row r="41" ht="15.75" customHeight="1">
      <c r="A41" s="3" t="s">
        <v>158</v>
      </c>
      <c r="B41" s="5">
        <v>79.0</v>
      </c>
      <c r="C41" s="5">
        <v>14.0</v>
      </c>
      <c r="D41" s="9">
        <v>46027.308333333334</v>
      </c>
      <c r="E41" s="10">
        <f t="shared" si="1"/>
        <v>46027</v>
      </c>
      <c r="F41" s="5">
        <v>1499.0</v>
      </c>
      <c r="G41" s="3" t="s">
        <v>20</v>
      </c>
      <c r="H41" s="3" t="s">
        <v>48</v>
      </c>
      <c r="I41" s="5">
        <v>8.0</v>
      </c>
      <c r="J41" s="8" t="str">
        <f>IFERROR(IFNA(vlookup(C41,merchants!$A$1:$D$41,2,FALSE),"Merchant not found"), "Merchant not found")</f>
        <v>Merchant_014</v>
      </c>
      <c r="K41" s="8" t="str">
        <f>IFERROR(IFNA(vlookup(C41,merchants!$A$1:$D$41,3,FALSE),"Merchant not found"), "Merchant not found")</f>
        <v>grocery</v>
      </c>
      <c r="L41" s="8" t="str">
        <f>IFERROR(IFNA(vlookup(C41,merchants!$A$1:$D$41,4,FALSE),"Merchant not found"), "Merchant not found")</f>
        <v>East</v>
      </c>
      <c r="M41" s="8">
        <f>IFERROR(IFNA(hlookup(G41,payment_methods!$A$1:$E$2,2,FALSE),"Payment method not found"), "Payment method not found")</f>
        <v>0</v>
      </c>
      <c r="N41" s="8">
        <f t="shared" si="2"/>
        <v>1499</v>
      </c>
      <c r="O41" s="8" t="str">
        <f t="shared" si="3"/>
        <v>Normal</v>
      </c>
    </row>
    <row r="42" ht="15.75" customHeight="1">
      <c r="A42" s="3" t="s">
        <v>159</v>
      </c>
      <c r="B42" s="5">
        <v>278.0</v>
      </c>
      <c r="C42" s="5">
        <v>30.0</v>
      </c>
      <c r="D42" s="9">
        <v>46036.55625</v>
      </c>
      <c r="E42" s="10">
        <f t="shared" si="1"/>
        <v>46036</v>
      </c>
      <c r="F42" s="5">
        <v>1499.0</v>
      </c>
      <c r="G42" s="3" t="s">
        <v>20</v>
      </c>
      <c r="H42" s="3" t="s">
        <v>48</v>
      </c>
      <c r="I42" s="5">
        <v>53.0</v>
      </c>
      <c r="J42" s="8" t="str">
        <f>IFERROR(IFNA(vlookup(C42,merchants!$A$1:$D$41,2,FALSE),"Merchant not found"), "Merchant not found")</f>
        <v>Merchant_030</v>
      </c>
      <c r="K42" s="8" t="str">
        <f>IFERROR(IFNA(vlookup(C42,merchants!$A$1:$D$41,3,FALSE),"Merchant not found"), "Merchant not found")</f>
        <v>travel</v>
      </c>
      <c r="L42" s="8" t="str">
        <f>IFERROR(IFNA(vlookup(C42,merchants!$A$1:$D$41,4,FALSE),"Merchant not found"), "Merchant not found")</f>
        <v>West</v>
      </c>
      <c r="M42" s="8">
        <f>IFERROR(IFNA(hlookup(G42,payment_methods!$A$1:$E$2,2,FALSE),"Payment method not found"), "Payment method not found")</f>
        <v>0</v>
      </c>
      <c r="N42" s="8">
        <f t="shared" si="2"/>
        <v>2497</v>
      </c>
      <c r="O42" s="8" t="str">
        <f t="shared" si="3"/>
        <v>Normal</v>
      </c>
    </row>
    <row r="43" ht="15.75" customHeight="1">
      <c r="A43" s="3" t="s">
        <v>160</v>
      </c>
      <c r="B43" s="5">
        <v>216.0</v>
      </c>
      <c r="C43" s="5">
        <v>25.0</v>
      </c>
      <c r="D43" s="9">
        <v>46024.28680555556</v>
      </c>
      <c r="E43" s="10">
        <f t="shared" si="1"/>
        <v>46024</v>
      </c>
      <c r="F43" s="5">
        <v>99.0</v>
      </c>
      <c r="G43" s="3" t="s">
        <v>20</v>
      </c>
      <c r="H43" s="3" t="s">
        <v>48</v>
      </c>
      <c r="I43" s="5">
        <v>98.0</v>
      </c>
      <c r="J43" s="8" t="str">
        <f>IFERROR(IFNA(vlookup(C43,merchants!$A$1:$D$41,2,FALSE),"Merchant not found"), "Merchant not found")</f>
        <v>Merchant_025</v>
      </c>
      <c r="K43" s="8" t="str">
        <f>IFERROR(IFNA(vlookup(C43,merchants!$A$1:$D$41,3,FALSE),"Merchant not found"), "Merchant not found")</f>
        <v>travel</v>
      </c>
      <c r="L43" s="8" t="str">
        <f>IFERROR(IFNA(vlookup(C43,merchants!$A$1:$D$41,4,FALSE),"Merchant not found"), "Merchant not found")</f>
        <v>South</v>
      </c>
      <c r="M43" s="8">
        <f>IFERROR(IFNA(hlookup(G43,payment_methods!$A$1:$E$2,2,FALSE),"Payment method not found"), "Payment method not found")</f>
        <v>0</v>
      </c>
      <c r="N43" s="8">
        <f t="shared" si="2"/>
        <v>99</v>
      </c>
      <c r="O43" s="8" t="str">
        <f t="shared" si="3"/>
        <v>Normal</v>
      </c>
    </row>
    <row r="44" ht="15.75" customHeight="1">
      <c r="A44" s="3" t="s">
        <v>161</v>
      </c>
      <c r="B44" s="5">
        <v>295.0</v>
      </c>
      <c r="C44" s="5">
        <v>25.0</v>
      </c>
      <c r="D44" s="9">
        <v>46041.91736111111</v>
      </c>
      <c r="E44" s="10">
        <f t="shared" si="1"/>
        <v>46041</v>
      </c>
      <c r="F44" s="5">
        <v>1499.0</v>
      </c>
      <c r="G44" s="3" t="s">
        <v>20</v>
      </c>
      <c r="H44" s="3" t="s">
        <v>48</v>
      </c>
      <c r="I44" s="5">
        <v>61.0</v>
      </c>
      <c r="J44" s="8" t="str">
        <f>IFERROR(IFNA(vlookup(C44,merchants!$A$1:$D$41,2,FALSE),"Merchant not found"), "Merchant not found")</f>
        <v>Merchant_025</v>
      </c>
      <c r="K44" s="8" t="str">
        <f>IFERROR(IFNA(vlookup(C44,merchants!$A$1:$D$41,3,FALSE),"Merchant not found"), "Merchant not found")</f>
        <v>travel</v>
      </c>
      <c r="L44" s="8" t="str">
        <f>IFERROR(IFNA(vlookup(C44,merchants!$A$1:$D$41,4,FALSE),"Merchant not found"), "Merchant not found")</f>
        <v>South</v>
      </c>
      <c r="M44" s="8">
        <f>IFERROR(IFNA(hlookup(G44,payment_methods!$A$1:$E$2,2,FALSE),"Payment method not found"), "Payment method not found")</f>
        <v>0</v>
      </c>
      <c r="N44" s="8">
        <f t="shared" si="2"/>
        <v>4498</v>
      </c>
      <c r="O44" s="8" t="str">
        <f t="shared" si="3"/>
        <v>Normal</v>
      </c>
    </row>
    <row r="45" ht="15.75" customHeight="1">
      <c r="A45" s="3" t="s">
        <v>162</v>
      </c>
      <c r="B45" s="5">
        <v>200.0</v>
      </c>
      <c r="C45" s="5">
        <v>27.0</v>
      </c>
      <c r="D45" s="9">
        <v>46023.47152777778</v>
      </c>
      <c r="E45" s="10">
        <f t="shared" si="1"/>
        <v>46023</v>
      </c>
      <c r="F45" s="5">
        <v>149.0</v>
      </c>
      <c r="G45" s="3" t="s">
        <v>20</v>
      </c>
      <c r="H45" s="3" t="s">
        <v>48</v>
      </c>
      <c r="I45" s="5">
        <v>68.0</v>
      </c>
      <c r="J45" s="8" t="str">
        <f>IFERROR(IFNA(vlookup(C45,merchants!$A$1:$D$41,2,FALSE),"Merchant not found"), "Merchant not found")</f>
        <v>Merchant_027</v>
      </c>
      <c r="K45" s="8" t="str">
        <f>IFERROR(IFNA(vlookup(C45,merchants!$A$1:$D$41,3,FALSE),"Merchant not found"), "Merchant not found")</f>
        <v>ecommerce</v>
      </c>
      <c r="L45" s="8" t="str">
        <f>IFERROR(IFNA(vlookup(C45,merchants!$A$1:$D$41,4,FALSE),"Merchant not found"), "Merchant not found")</f>
        <v>North</v>
      </c>
      <c r="M45" s="8">
        <f>IFERROR(IFNA(hlookup(G45,payment_methods!$A$1:$E$2,2,FALSE),"Payment method not found"), "Payment method not found")</f>
        <v>0</v>
      </c>
      <c r="N45" s="8">
        <f t="shared" si="2"/>
        <v>149</v>
      </c>
      <c r="O45" s="8" t="str">
        <f t="shared" si="3"/>
        <v>Normal</v>
      </c>
    </row>
    <row r="46" ht="15.75" customHeight="1">
      <c r="A46" s="3" t="s">
        <v>163</v>
      </c>
      <c r="B46" s="5">
        <v>309.0</v>
      </c>
      <c r="C46" s="5">
        <v>15.0</v>
      </c>
      <c r="D46" s="9">
        <v>46046.981944444444</v>
      </c>
      <c r="E46" s="10">
        <f t="shared" si="1"/>
        <v>46046</v>
      </c>
      <c r="F46" s="5">
        <v>99.0</v>
      </c>
      <c r="G46" s="3" t="s">
        <v>25</v>
      </c>
      <c r="H46" s="3" t="s">
        <v>48</v>
      </c>
      <c r="I46" s="5">
        <v>62.0</v>
      </c>
      <c r="J46" s="8" t="str">
        <f>IFERROR(IFNA(vlookup(C46,merchants!$A$1:$D$41,2,FALSE),"Merchant not found"), "Merchant not found")</f>
        <v>Merchant_015</v>
      </c>
      <c r="K46" s="8" t="str">
        <f>IFERROR(IFNA(vlookup(C46,merchants!$A$1:$D$41,3,FALSE),"Merchant not found"), "Merchant not found")</f>
        <v>travel</v>
      </c>
      <c r="L46" s="8" t="str">
        <f>IFERROR(IFNA(vlookup(C46,merchants!$A$1:$D$41,4,FALSE),"Merchant not found"), "Merchant not found")</f>
        <v>North</v>
      </c>
      <c r="M46" s="8">
        <f>IFERROR(IFNA(hlookup(G46,payment_methods!$A$1:$E$2,2,FALSE),"Payment method not found"), "Payment method not found")</f>
        <v>0.005</v>
      </c>
      <c r="N46" s="8">
        <f t="shared" si="2"/>
        <v>148</v>
      </c>
      <c r="O46" s="8" t="str">
        <f t="shared" si="3"/>
        <v>Normal</v>
      </c>
    </row>
    <row r="47" ht="15.75" customHeight="1">
      <c r="A47" s="3" t="s">
        <v>164</v>
      </c>
      <c r="B47" s="5">
        <v>249.0</v>
      </c>
      <c r="C47" s="5">
        <v>2.0</v>
      </c>
      <c r="D47" s="9">
        <v>46030.35208333333</v>
      </c>
      <c r="E47" s="10">
        <f t="shared" si="1"/>
        <v>46030</v>
      </c>
      <c r="F47" s="5">
        <v>299.0</v>
      </c>
      <c r="G47" s="3" t="s">
        <v>15</v>
      </c>
      <c r="H47" s="3" t="s">
        <v>48</v>
      </c>
      <c r="I47" s="5">
        <v>49.0</v>
      </c>
      <c r="J47" s="8" t="str">
        <f>IFERROR(IFNA(vlookup(C47,merchants!$A$1:$D$41,2,FALSE),"Merchant not found"), "Merchant not found")</f>
        <v>Merchant_002</v>
      </c>
      <c r="K47" s="8" t="str">
        <f>IFERROR(IFNA(vlookup(C47,merchants!$A$1:$D$41,3,FALSE),"Merchant not found"), "Merchant not found")</f>
        <v>grocery</v>
      </c>
      <c r="L47" s="8" t="str">
        <f>IFERROR(IFNA(vlookup(C47,merchants!$A$1:$D$41,4,FALSE),"Merchant not found"), "Merchant not found")</f>
        <v>West</v>
      </c>
      <c r="M47" s="8">
        <f>IFERROR(IFNA(hlookup(G47,payment_methods!$A$1:$E$2,2,FALSE),"Payment method not found"), "Payment method not found")</f>
        <v>0.0025</v>
      </c>
      <c r="N47" s="8">
        <f t="shared" si="2"/>
        <v>299</v>
      </c>
      <c r="O47" s="8" t="str">
        <f t="shared" si="3"/>
        <v>Normal</v>
      </c>
    </row>
    <row r="48" ht="15.75" customHeight="1">
      <c r="A48" s="3" t="s">
        <v>165</v>
      </c>
      <c r="B48" s="5">
        <v>208.0</v>
      </c>
      <c r="C48" s="5">
        <v>11.0</v>
      </c>
      <c r="D48" s="9">
        <v>46033.904861111114</v>
      </c>
      <c r="E48" s="10">
        <f t="shared" si="1"/>
        <v>46033</v>
      </c>
      <c r="F48" s="5">
        <v>4999.0</v>
      </c>
      <c r="G48" s="3" t="s">
        <v>25</v>
      </c>
      <c r="H48" s="3" t="s">
        <v>48</v>
      </c>
      <c r="I48" s="5">
        <v>59.0</v>
      </c>
      <c r="J48" s="8" t="str">
        <f>IFERROR(IFNA(vlookup(C48,merchants!$A$1:$D$41,2,FALSE),"Merchant not found"), "Merchant not found")</f>
        <v>Merchant_011</v>
      </c>
      <c r="K48" s="8" t="str">
        <f>IFERROR(IFNA(vlookup(C48,merchants!$A$1:$D$41,3,FALSE),"Merchant not found"), "Merchant not found")</f>
        <v>ecommerce</v>
      </c>
      <c r="L48" s="8" t="str">
        <f>IFERROR(IFNA(vlookup(C48,merchants!$A$1:$D$41,4,FALSE),"Merchant not found"), "Merchant not found")</f>
        <v>North</v>
      </c>
      <c r="M48" s="8">
        <f>IFERROR(IFNA(hlookup(G48,payment_methods!$A$1:$E$2,2,FALSE),"Payment method not found"), "Payment method not found")</f>
        <v>0.005</v>
      </c>
      <c r="N48" s="8">
        <f t="shared" si="2"/>
        <v>4999</v>
      </c>
      <c r="O48" s="8" t="str">
        <f t="shared" si="3"/>
        <v>Normal</v>
      </c>
    </row>
    <row r="49" ht="15.75" customHeight="1">
      <c r="A49" s="3" t="s">
        <v>166</v>
      </c>
      <c r="B49" s="5">
        <v>274.0</v>
      </c>
      <c r="C49" s="5">
        <v>2.0</v>
      </c>
      <c r="D49" s="9">
        <v>46052.19375</v>
      </c>
      <c r="E49" s="10">
        <f t="shared" si="1"/>
        <v>46052</v>
      </c>
      <c r="F49" s="5">
        <v>299.0</v>
      </c>
      <c r="G49" s="3" t="s">
        <v>20</v>
      </c>
      <c r="H49" s="3" t="s">
        <v>48</v>
      </c>
      <c r="I49" s="5">
        <v>50.0</v>
      </c>
      <c r="J49" s="8" t="str">
        <f>IFERROR(IFNA(vlookup(C49,merchants!$A$1:$D$41,2,FALSE),"Merchant not found"), "Merchant not found")</f>
        <v>Merchant_002</v>
      </c>
      <c r="K49" s="8" t="str">
        <f>IFERROR(IFNA(vlookup(C49,merchants!$A$1:$D$41,3,FALSE),"Merchant not found"), "Merchant not found")</f>
        <v>grocery</v>
      </c>
      <c r="L49" s="8" t="str">
        <f>IFERROR(IFNA(vlookup(C49,merchants!$A$1:$D$41,4,FALSE),"Merchant not found"), "Merchant not found")</f>
        <v>West</v>
      </c>
      <c r="M49" s="8">
        <f>IFERROR(IFNA(hlookup(G49,payment_methods!$A$1:$E$2,2,FALSE),"Payment method not found"), "Payment method not found")</f>
        <v>0</v>
      </c>
      <c r="N49" s="8">
        <f t="shared" si="2"/>
        <v>299</v>
      </c>
      <c r="O49" s="8" t="str">
        <f t="shared" si="3"/>
        <v>Normal</v>
      </c>
    </row>
    <row r="50" ht="15.75" customHeight="1">
      <c r="A50" s="3" t="s">
        <v>167</v>
      </c>
      <c r="B50" s="5">
        <v>14.0</v>
      </c>
      <c r="C50" s="5">
        <v>6.0</v>
      </c>
      <c r="D50" s="9">
        <v>46041.77916666667</v>
      </c>
      <c r="E50" s="10">
        <f t="shared" si="1"/>
        <v>46041</v>
      </c>
      <c r="F50" s="5">
        <v>49.0</v>
      </c>
      <c r="G50" s="3" t="s">
        <v>15</v>
      </c>
      <c r="H50" s="3" t="s">
        <v>48</v>
      </c>
      <c r="I50" s="5">
        <v>82.0</v>
      </c>
      <c r="J50" s="8" t="str">
        <f>IFERROR(IFNA(vlookup(C50,merchants!$A$1:$D$41,2,FALSE),"Merchant not found"), "Merchant not found")</f>
        <v>Merchant_006</v>
      </c>
      <c r="K50" s="8" t="str">
        <f>IFERROR(IFNA(vlookup(C50,merchants!$A$1:$D$41,3,FALSE),"Merchant not found"), "Merchant not found")</f>
        <v>food_delivery</v>
      </c>
      <c r="L50" s="8" t="str">
        <f>IFERROR(IFNA(vlookup(C50,merchants!$A$1:$D$41,4,FALSE),"Merchant not found"), "Merchant not found")</f>
        <v>South</v>
      </c>
      <c r="M50" s="8">
        <f>IFERROR(IFNA(hlookup(G50,payment_methods!$A$1:$E$2,2,FALSE),"Payment method not found"), "Payment method not found")</f>
        <v>0.0025</v>
      </c>
      <c r="N50" s="8">
        <f t="shared" si="2"/>
        <v>49</v>
      </c>
      <c r="O50" s="8" t="str">
        <f t="shared" si="3"/>
        <v>Normal</v>
      </c>
    </row>
    <row r="51" ht="15.75" customHeight="1">
      <c r="A51" s="3" t="s">
        <v>168</v>
      </c>
      <c r="B51" s="5">
        <v>237.0</v>
      </c>
      <c r="C51" s="5">
        <v>12.0</v>
      </c>
      <c r="D51" s="9">
        <v>46036.20486111111</v>
      </c>
      <c r="E51" s="10">
        <f t="shared" si="1"/>
        <v>46036</v>
      </c>
      <c r="F51" s="5">
        <v>49.0</v>
      </c>
      <c r="G51" s="3" t="s">
        <v>20</v>
      </c>
      <c r="H51" s="3" t="s">
        <v>48</v>
      </c>
      <c r="I51" s="5">
        <v>6.0</v>
      </c>
      <c r="J51" s="8" t="str">
        <f>IFERROR(IFNA(vlookup(C51,merchants!$A$1:$D$41,2,FALSE),"Merchant not found"), "Merchant not found")</f>
        <v>Merchant_012</v>
      </c>
      <c r="K51" s="8" t="str">
        <f>IFERROR(IFNA(vlookup(C51,merchants!$A$1:$D$41,3,FALSE),"Merchant not found"), "Merchant not found")</f>
        <v>ecommerce</v>
      </c>
      <c r="L51" s="8" t="str">
        <f>IFERROR(IFNA(vlookup(C51,merchants!$A$1:$D$41,4,FALSE),"Merchant not found"), "Merchant not found")</f>
        <v>East</v>
      </c>
      <c r="M51" s="8">
        <f>IFERROR(IFNA(hlookup(G51,payment_methods!$A$1:$E$2,2,FALSE),"Payment method not found"), "Payment method not found")</f>
        <v>0</v>
      </c>
      <c r="N51" s="8">
        <f t="shared" si="2"/>
        <v>548</v>
      </c>
      <c r="O51" s="8" t="str">
        <f t="shared" si="3"/>
        <v>Normal</v>
      </c>
    </row>
    <row r="52" ht="15.75" customHeight="1">
      <c r="A52" s="3" t="s">
        <v>169</v>
      </c>
      <c r="B52" s="5">
        <v>109.0</v>
      </c>
      <c r="C52" s="5">
        <v>30.0</v>
      </c>
      <c r="D52" s="9">
        <v>46031.51388888889</v>
      </c>
      <c r="E52" s="10">
        <f t="shared" si="1"/>
        <v>46031</v>
      </c>
      <c r="F52" s="5">
        <v>99.0</v>
      </c>
      <c r="G52" s="3" t="s">
        <v>20</v>
      </c>
      <c r="H52" s="3" t="s">
        <v>48</v>
      </c>
      <c r="I52" s="5">
        <v>41.0</v>
      </c>
      <c r="J52" s="8" t="str">
        <f>IFERROR(IFNA(vlookup(C52,merchants!$A$1:$D$41,2,FALSE),"Merchant not found"), "Merchant not found")</f>
        <v>Merchant_030</v>
      </c>
      <c r="K52" s="8" t="str">
        <f>IFERROR(IFNA(vlookup(C52,merchants!$A$1:$D$41,3,FALSE),"Merchant not found"), "Merchant not found")</f>
        <v>travel</v>
      </c>
      <c r="L52" s="8" t="str">
        <f>IFERROR(IFNA(vlookup(C52,merchants!$A$1:$D$41,4,FALSE),"Merchant not found"), "Merchant not found")</f>
        <v>West</v>
      </c>
      <c r="M52" s="8">
        <f>IFERROR(IFNA(hlookup(G52,payment_methods!$A$1:$E$2,2,FALSE),"Payment method not found"), "Payment method not found")</f>
        <v>0</v>
      </c>
      <c r="N52" s="8">
        <f t="shared" si="2"/>
        <v>99</v>
      </c>
      <c r="O52" s="8" t="str">
        <f t="shared" si="3"/>
        <v>Normal</v>
      </c>
    </row>
    <row r="53" ht="15.75" customHeight="1">
      <c r="A53" s="3" t="s">
        <v>170</v>
      </c>
      <c r="B53" s="5">
        <v>216.0</v>
      </c>
      <c r="C53" s="5">
        <v>17.0</v>
      </c>
      <c r="D53" s="9">
        <v>46033.51180555556</v>
      </c>
      <c r="E53" s="10">
        <f t="shared" si="1"/>
        <v>46033</v>
      </c>
      <c r="F53" s="5">
        <v>4999.0</v>
      </c>
      <c r="G53" s="3" t="s">
        <v>20</v>
      </c>
      <c r="H53" s="3" t="s">
        <v>48</v>
      </c>
      <c r="I53" s="5">
        <v>10.0</v>
      </c>
      <c r="J53" s="8" t="str">
        <f>IFERROR(IFNA(vlookup(C53,merchants!$A$1:$D$41,2,FALSE),"Merchant not found"), "Merchant not found")</f>
        <v>Merchant_017</v>
      </c>
      <c r="K53" s="8" t="str">
        <f>IFERROR(IFNA(vlookup(C53,merchants!$A$1:$D$41,3,FALSE),"Merchant not found"), "Merchant not found")</f>
        <v>grocery</v>
      </c>
      <c r="L53" s="8" t="str">
        <f>IFERROR(IFNA(vlookup(C53,merchants!$A$1:$D$41,4,FALSE),"Merchant not found"), "Merchant not found")</f>
        <v>North</v>
      </c>
      <c r="M53" s="8">
        <f>IFERROR(IFNA(hlookup(G53,payment_methods!$A$1:$E$2,2,FALSE),"Payment method not found"), "Payment method not found")</f>
        <v>0</v>
      </c>
      <c r="N53" s="8">
        <f t="shared" si="2"/>
        <v>7998</v>
      </c>
      <c r="O53" s="8" t="str">
        <f t="shared" si="3"/>
        <v>High-Value Merchant Day</v>
      </c>
    </row>
    <row r="54" ht="15.75" customHeight="1">
      <c r="A54" s="3" t="s">
        <v>171</v>
      </c>
      <c r="B54" s="5">
        <v>277.0</v>
      </c>
      <c r="C54" s="5">
        <v>4.0</v>
      </c>
      <c r="D54" s="9">
        <v>46038.032638888886</v>
      </c>
      <c r="E54" s="10">
        <f t="shared" si="1"/>
        <v>46038</v>
      </c>
      <c r="F54" s="5">
        <v>799.0</v>
      </c>
      <c r="G54" s="3" t="s">
        <v>20</v>
      </c>
      <c r="H54" s="3" t="s">
        <v>48</v>
      </c>
      <c r="I54" s="5">
        <v>44.0</v>
      </c>
      <c r="J54" s="8" t="str">
        <f>IFERROR(IFNA(vlookup(C54,merchants!$A$1:$D$41,2,FALSE),"Merchant not found"), "Merchant not found")</f>
        <v>Merchant_004</v>
      </c>
      <c r="K54" s="8" t="str">
        <f>IFERROR(IFNA(vlookup(C54,merchants!$A$1:$D$41,3,FALSE),"Merchant not found"), "Merchant not found")</f>
        <v>ecommerce</v>
      </c>
      <c r="L54" s="8" t="str">
        <f>IFERROR(IFNA(vlookup(C54,merchants!$A$1:$D$41,4,FALSE),"Merchant not found"), "Merchant not found")</f>
        <v>East</v>
      </c>
      <c r="M54" s="8">
        <f>IFERROR(IFNA(hlookup(G54,payment_methods!$A$1:$E$2,2,FALSE),"Payment method not found"), "Payment method not found")</f>
        <v>0</v>
      </c>
      <c r="N54" s="8">
        <f t="shared" si="2"/>
        <v>799</v>
      </c>
      <c r="O54" s="8" t="str">
        <f t="shared" si="3"/>
        <v>Normal</v>
      </c>
    </row>
    <row r="55" ht="15.75" customHeight="1">
      <c r="A55" s="3" t="s">
        <v>172</v>
      </c>
      <c r="B55" s="5">
        <v>334.0</v>
      </c>
      <c r="C55" s="5">
        <v>3.0</v>
      </c>
      <c r="D55" s="9">
        <v>46030.83611111111</v>
      </c>
      <c r="E55" s="10">
        <f t="shared" si="1"/>
        <v>46030</v>
      </c>
      <c r="F55" s="5">
        <v>149.0</v>
      </c>
      <c r="G55" s="3" t="s">
        <v>15</v>
      </c>
      <c r="H55" s="3" t="s">
        <v>48</v>
      </c>
      <c r="I55" s="5">
        <v>96.0</v>
      </c>
      <c r="J55" s="8" t="str">
        <f>IFERROR(IFNA(vlookup(C55,merchants!$A$1:$D$41,2,FALSE),"Merchant not found"), "Merchant not found")</f>
        <v>Merchant_003</v>
      </c>
      <c r="K55" s="8" t="str">
        <f>IFERROR(IFNA(vlookup(C55,merchants!$A$1:$D$41,3,FALSE),"Merchant not found"), "Merchant not found")</f>
        <v>grocery</v>
      </c>
      <c r="L55" s="8" t="str">
        <f>IFERROR(IFNA(vlookup(C55,merchants!$A$1:$D$41,4,FALSE),"Merchant not found"), "Merchant not found")</f>
        <v>East</v>
      </c>
      <c r="M55" s="8">
        <f>IFERROR(IFNA(hlookup(G55,payment_methods!$A$1:$E$2,2,FALSE),"Payment method not found"), "Payment method not found")</f>
        <v>0.0025</v>
      </c>
      <c r="N55" s="8">
        <f t="shared" si="2"/>
        <v>149</v>
      </c>
      <c r="O55" s="8" t="str">
        <f t="shared" si="3"/>
        <v>Normal</v>
      </c>
    </row>
    <row r="56" ht="15.75" customHeight="1">
      <c r="A56" s="3" t="s">
        <v>173</v>
      </c>
      <c r="B56" s="5">
        <v>11.0</v>
      </c>
      <c r="C56" s="5">
        <v>40.0</v>
      </c>
      <c r="D56" s="9">
        <v>46023.3</v>
      </c>
      <c r="E56" s="10">
        <f t="shared" si="1"/>
        <v>46023</v>
      </c>
      <c r="F56" s="5">
        <v>299.0</v>
      </c>
      <c r="G56" s="3" t="s">
        <v>20</v>
      </c>
      <c r="H56" s="3" t="s">
        <v>48</v>
      </c>
      <c r="I56" s="5">
        <v>19.0</v>
      </c>
      <c r="J56" s="8" t="str">
        <f>IFERROR(IFNA(vlookup(C56,merchants!$A$1:$D$41,2,FALSE),"Merchant not found"), "Merchant not found")</f>
        <v>Merchant_040</v>
      </c>
      <c r="K56" s="8" t="str">
        <f>IFERROR(IFNA(vlookup(C56,merchants!$A$1:$D$41,3,FALSE),"Merchant not found"), "Merchant not found")</f>
        <v>entertainment</v>
      </c>
      <c r="L56" s="8" t="str">
        <f>IFERROR(IFNA(vlookup(C56,merchants!$A$1:$D$41,4,FALSE),"Merchant not found"), "Merchant not found")</f>
        <v>South</v>
      </c>
      <c r="M56" s="8">
        <f>IFERROR(IFNA(hlookup(G56,payment_methods!$A$1:$E$2,2,FALSE),"Payment method not found"), "Payment method not found")</f>
        <v>0</v>
      </c>
      <c r="N56" s="8">
        <f t="shared" si="2"/>
        <v>299</v>
      </c>
      <c r="O56" s="8" t="str">
        <f t="shared" si="3"/>
        <v>Normal</v>
      </c>
    </row>
    <row r="57" ht="15.75" customHeight="1">
      <c r="A57" s="3" t="s">
        <v>174</v>
      </c>
      <c r="B57" s="5">
        <v>343.0</v>
      </c>
      <c r="C57" s="5">
        <v>8.0</v>
      </c>
      <c r="D57" s="9">
        <v>46030.1875</v>
      </c>
      <c r="E57" s="10">
        <f t="shared" si="1"/>
        <v>46030</v>
      </c>
      <c r="F57" s="5">
        <v>99.0</v>
      </c>
      <c r="G57" s="3" t="s">
        <v>20</v>
      </c>
      <c r="H57" s="3" t="s">
        <v>48</v>
      </c>
      <c r="I57" s="5">
        <v>72.0</v>
      </c>
      <c r="J57" s="8" t="str">
        <f>IFERROR(IFNA(vlookup(C57,merchants!$A$1:$D$41,2,FALSE),"Merchant not found"), "Merchant not found")</f>
        <v>Merchant_008</v>
      </c>
      <c r="K57" s="8" t="str">
        <f>IFERROR(IFNA(vlookup(C57,merchants!$A$1:$D$41,3,FALSE),"Merchant not found"), "Merchant not found")</f>
        <v>food_delivery</v>
      </c>
      <c r="L57" s="8" t="str">
        <f>IFERROR(IFNA(vlookup(C57,merchants!$A$1:$D$41,4,FALSE),"Merchant not found"), "Merchant not found")</f>
        <v>North</v>
      </c>
      <c r="M57" s="8">
        <f>IFERROR(IFNA(hlookup(G57,payment_methods!$A$1:$E$2,2,FALSE),"Payment method not found"), "Payment method not found")</f>
        <v>0</v>
      </c>
      <c r="N57" s="8">
        <f t="shared" si="2"/>
        <v>99</v>
      </c>
      <c r="O57" s="8" t="str">
        <f t="shared" si="3"/>
        <v>Normal</v>
      </c>
    </row>
    <row r="58" ht="15.75" customHeight="1">
      <c r="A58" s="3" t="s">
        <v>175</v>
      </c>
      <c r="B58" s="5">
        <v>132.0</v>
      </c>
      <c r="C58" s="5">
        <v>24.0</v>
      </c>
      <c r="D58" s="9">
        <v>46029.61388888889</v>
      </c>
      <c r="E58" s="10">
        <f t="shared" si="1"/>
        <v>46029</v>
      </c>
      <c r="F58" s="5">
        <v>299.0</v>
      </c>
      <c r="G58" s="3" t="s">
        <v>15</v>
      </c>
      <c r="H58" s="3" t="s">
        <v>48</v>
      </c>
      <c r="I58" s="5">
        <v>21.0</v>
      </c>
      <c r="J58" s="8" t="str">
        <f>IFERROR(IFNA(vlookup(C58,merchants!$A$1:$D$41,2,FALSE),"Merchant not found"), "Merchant not found")</f>
        <v>Merchant_024</v>
      </c>
      <c r="K58" s="8" t="str">
        <f>IFERROR(IFNA(vlookup(C58,merchants!$A$1:$D$41,3,FALSE),"Merchant not found"), "Merchant not found")</f>
        <v>grocery</v>
      </c>
      <c r="L58" s="8" t="str">
        <f>IFERROR(IFNA(vlookup(C58,merchants!$A$1:$D$41,4,FALSE),"Merchant not found"), "Merchant not found")</f>
        <v>North</v>
      </c>
      <c r="M58" s="8">
        <f>IFERROR(IFNA(hlookup(G58,payment_methods!$A$1:$E$2,2,FALSE),"Payment method not found"), "Payment method not found")</f>
        <v>0.0025</v>
      </c>
      <c r="N58" s="8">
        <f t="shared" si="2"/>
        <v>299</v>
      </c>
      <c r="O58" s="8" t="str">
        <f t="shared" si="3"/>
        <v>Normal</v>
      </c>
    </row>
    <row r="59" ht="15.75" customHeight="1">
      <c r="A59" s="3" t="s">
        <v>176</v>
      </c>
      <c r="B59" s="5">
        <v>59.0</v>
      </c>
      <c r="C59" s="5">
        <v>11.0</v>
      </c>
      <c r="D59" s="9">
        <v>46042.82430555556</v>
      </c>
      <c r="E59" s="10">
        <f t="shared" si="1"/>
        <v>46042</v>
      </c>
      <c r="F59" s="5">
        <v>299.0</v>
      </c>
      <c r="G59" s="3" t="s">
        <v>20</v>
      </c>
      <c r="H59" s="3" t="s">
        <v>48</v>
      </c>
      <c r="I59" s="5">
        <v>39.0</v>
      </c>
      <c r="J59" s="8" t="str">
        <f>IFERROR(IFNA(vlookup(C59,merchants!$A$1:$D$41,2,FALSE),"Merchant not found"), "Merchant not found")</f>
        <v>Merchant_011</v>
      </c>
      <c r="K59" s="8" t="str">
        <f>IFERROR(IFNA(vlookup(C59,merchants!$A$1:$D$41,3,FALSE),"Merchant not found"), "Merchant not found")</f>
        <v>ecommerce</v>
      </c>
      <c r="L59" s="8" t="str">
        <f>IFERROR(IFNA(vlookup(C59,merchants!$A$1:$D$41,4,FALSE),"Merchant not found"), "Merchant not found")</f>
        <v>North</v>
      </c>
      <c r="M59" s="8">
        <f>IFERROR(IFNA(hlookup(G59,payment_methods!$A$1:$E$2,2,FALSE),"Payment method not found"), "Payment method not found")</f>
        <v>0</v>
      </c>
      <c r="N59" s="8">
        <f t="shared" si="2"/>
        <v>299</v>
      </c>
      <c r="O59" s="8" t="str">
        <f t="shared" si="3"/>
        <v>Normal</v>
      </c>
    </row>
    <row r="60" ht="15.75" customHeight="1">
      <c r="A60" s="3" t="s">
        <v>177</v>
      </c>
      <c r="B60" s="5">
        <v>160.0</v>
      </c>
      <c r="C60" s="5">
        <v>37.0</v>
      </c>
      <c r="D60" s="9">
        <v>46026.75069444445</v>
      </c>
      <c r="E60" s="10">
        <f t="shared" si="1"/>
        <v>46026</v>
      </c>
      <c r="F60" s="5">
        <v>49.0</v>
      </c>
      <c r="G60" s="3" t="s">
        <v>15</v>
      </c>
      <c r="H60" s="3" t="s">
        <v>48</v>
      </c>
      <c r="I60" s="5">
        <v>86.0</v>
      </c>
      <c r="J60" s="8" t="str">
        <f>IFERROR(IFNA(vlookup(C60,merchants!$A$1:$D$41,2,FALSE),"Merchant not found"), "Merchant not found")</f>
        <v>Merchant_037</v>
      </c>
      <c r="K60" s="8" t="str">
        <f>IFERROR(IFNA(vlookup(C60,merchants!$A$1:$D$41,3,FALSE),"Merchant not found"), "Merchant not found")</f>
        <v>entertainment</v>
      </c>
      <c r="L60" s="8" t="str">
        <f>IFERROR(IFNA(vlookup(C60,merchants!$A$1:$D$41,4,FALSE),"Merchant not found"), "Merchant not found")</f>
        <v>South</v>
      </c>
      <c r="M60" s="8">
        <f>IFERROR(IFNA(hlookup(G60,payment_methods!$A$1:$E$2,2,FALSE),"Payment method not found"), "Payment method not found")</f>
        <v>0.0025</v>
      </c>
      <c r="N60" s="8">
        <f t="shared" si="2"/>
        <v>49</v>
      </c>
      <c r="O60" s="8" t="str">
        <f t="shared" si="3"/>
        <v>Normal</v>
      </c>
    </row>
    <row r="61" ht="15.75" customHeight="1">
      <c r="A61" s="3" t="s">
        <v>178</v>
      </c>
      <c r="B61" s="5">
        <v>102.0</v>
      </c>
      <c r="C61" s="5">
        <v>5.0</v>
      </c>
      <c r="D61" s="9">
        <v>46052.51736111111</v>
      </c>
      <c r="E61" s="10">
        <f t="shared" si="1"/>
        <v>46052</v>
      </c>
      <c r="F61" s="5">
        <v>2999.0</v>
      </c>
      <c r="G61" s="3" t="s">
        <v>20</v>
      </c>
      <c r="H61" s="3" t="s">
        <v>48</v>
      </c>
      <c r="I61" s="5">
        <v>75.0</v>
      </c>
      <c r="J61" s="8" t="str">
        <f>IFERROR(IFNA(vlookup(C61,merchants!$A$1:$D$41,2,FALSE),"Merchant not found"), "Merchant not found")</f>
        <v>Merchant_005</v>
      </c>
      <c r="K61" s="8" t="str">
        <f>IFERROR(IFNA(vlookup(C61,merchants!$A$1:$D$41,3,FALSE),"Merchant not found"), "Merchant not found")</f>
        <v>recharge</v>
      </c>
      <c r="L61" s="8" t="str">
        <f>IFERROR(IFNA(vlookup(C61,merchants!$A$1:$D$41,4,FALSE),"Merchant not found"), "Merchant not found")</f>
        <v>South</v>
      </c>
      <c r="M61" s="8">
        <f>IFERROR(IFNA(hlookup(G61,payment_methods!$A$1:$E$2,2,FALSE),"Payment method not found"), "Payment method not found")</f>
        <v>0</v>
      </c>
      <c r="N61" s="8">
        <f t="shared" si="2"/>
        <v>2999</v>
      </c>
      <c r="O61" s="8" t="str">
        <f t="shared" si="3"/>
        <v>Normal</v>
      </c>
    </row>
    <row r="62" ht="15.75" customHeight="1">
      <c r="A62" s="3" t="s">
        <v>179</v>
      </c>
      <c r="B62" s="5">
        <v>53.0</v>
      </c>
      <c r="C62" s="5">
        <v>20.0</v>
      </c>
      <c r="D62" s="9">
        <v>46045.84375</v>
      </c>
      <c r="E62" s="10">
        <f t="shared" si="1"/>
        <v>46045</v>
      </c>
      <c r="F62" s="5">
        <v>49.0</v>
      </c>
      <c r="G62" s="3" t="s">
        <v>25</v>
      </c>
      <c r="H62" s="3" t="s">
        <v>48</v>
      </c>
      <c r="I62" s="5">
        <v>87.0</v>
      </c>
      <c r="J62" s="8" t="str">
        <f>IFERROR(IFNA(vlookup(C62,merchants!$A$1:$D$41,2,FALSE),"Merchant not found"), "Merchant not found")</f>
        <v>Merchant_020</v>
      </c>
      <c r="K62" s="8" t="str">
        <f>IFERROR(IFNA(vlookup(C62,merchants!$A$1:$D$41,3,FALSE),"Merchant not found"), "Merchant not found")</f>
        <v>food_delivery</v>
      </c>
      <c r="L62" s="8" t="str">
        <f>IFERROR(IFNA(vlookup(C62,merchants!$A$1:$D$41,4,FALSE),"Merchant not found"), "Merchant not found")</f>
        <v>East</v>
      </c>
      <c r="M62" s="8">
        <f>IFERROR(IFNA(hlookup(G62,payment_methods!$A$1:$E$2,2,FALSE),"Payment method not found"), "Payment method not found")</f>
        <v>0.005</v>
      </c>
      <c r="N62" s="8">
        <f t="shared" si="2"/>
        <v>49</v>
      </c>
      <c r="O62" s="8" t="str">
        <f t="shared" si="3"/>
        <v>Normal</v>
      </c>
    </row>
    <row r="63" ht="15.75" customHeight="1">
      <c r="A63" s="3" t="s">
        <v>180</v>
      </c>
      <c r="B63" s="5">
        <v>290.0</v>
      </c>
      <c r="C63" s="5">
        <v>3.0</v>
      </c>
      <c r="D63" s="9">
        <v>46042.15972222222</v>
      </c>
      <c r="E63" s="10">
        <f t="shared" si="1"/>
        <v>46042</v>
      </c>
      <c r="F63" s="5">
        <v>99.0</v>
      </c>
      <c r="G63" s="3" t="s">
        <v>15</v>
      </c>
      <c r="H63" s="3" t="s">
        <v>48</v>
      </c>
      <c r="I63" s="5">
        <v>44.0</v>
      </c>
      <c r="J63" s="8" t="str">
        <f>IFERROR(IFNA(vlookup(C63,merchants!$A$1:$D$41,2,FALSE),"Merchant not found"), "Merchant not found")</f>
        <v>Merchant_003</v>
      </c>
      <c r="K63" s="8" t="str">
        <f>IFERROR(IFNA(vlookup(C63,merchants!$A$1:$D$41,3,FALSE),"Merchant not found"), "Merchant not found")</f>
        <v>grocery</v>
      </c>
      <c r="L63" s="8" t="str">
        <f>IFERROR(IFNA(vlookup(C63,merchants!$A$1:$D$41,4,FALSE),"Merchant not found"), "Merchant not found")</f>
        <v>East</v>
      </c>
      <c r="M63" s="8">
        <f>IFERROR(IFNA(hlookup(G63,payment_methods!$A$1:$E$2,2,FALSE),"Payment method not found"), "Payment method not found")</f>
        <v>0.0025</v>
      </c>
      <c r="N63" s="8">
        <f t="shared" si="2"/>
        <v>99</v>
      </c>
      <c r="O63" s="8" t="str">
        <f t="shared" si="3"/>
        <v>Normal</v>
      </c>
    </row>
    <row r="64" ht="15.75" customHeight="1">
      <c r="A64" s="3" t="s">
        <v>181</v>
      </c>
      <c r="B64" s="5">
        <v>190.0</v>
      </c>
      <c r="C64" s="5">
        <v>5.0</v>
      </c>
      <c r="D64" s="9">
        <v>46040.57083333333</v>
      </c>
      <c r="E64" s="10">
        <f t="shared" si="1"/>
        <v>46040</v>
      </c>
      <c r="F64" s="5">
        <v>299.0</v>
      </c>
      <c r="G64" s="3" t="s">
        <v>20</v>
      </c>
      <c r="H64" s="3" t="s">
        <v>48</v>
      </c>
      <c r="I64" s="5">
        <v>64.0</v>
      </c>
      <c r="J64" s="8" t="str">
        <f>IFERROR(IFNA(vlookup(C64,merchants!$A$1:$D$41,2,FALSE),"Merchant not found"), "Merchant not found")</f>
        <v>Merchant_005</v>
      </c>
      <c r="K64" s="8" t="str">
        <f>IFERROR(IFNA(vlookup(C64,merchants!$A$1:$D$41,3,FALSE),"Merchant not found"), "Merchant not found")</f>
        <v>recharge</v>
      </c>
      <c r="L64" s="8" t="str">
        <f>IFERROR(IFNA(vlookup(C64,merchants!$A$1:$D$41,4,FALSE),"Merchant not found"), "Merchant not found")</f>
        <v>South</v>
      </c>
      <c r="M64" s="8">
        <f>IFERROR(IFNA(hlookup(G64,payment_methods!$A$1:$E$2,2,FALSE),"Payment method not found"), "Payment method not found")</f>
        <v>0</v>
      </c>
      <c r="N64" s="8">
        <f t="shared" si="2"/>
        <v>299</v>
      </c>
      <c r="O64" s="8" t="str">
        <f t="shared" si="3"/>
        <v>Normal</v>
      </c>
    </row>
    <row r="65" ht="15.75" customHeight="1">
      <c r="A65" s="3" t="s">
        <v>182</v>
      </c>
      <c r="B65" s="5">
        <v>216.0</v>
      </c>
      <c r="C65" s="5">
        <v>32.0</v>
      </c>
      <c r="D65" s="9">
        <v>46043.416666666664</v>
      </c>
      <c r="E65" s="10">
        <f t="shared" si="1"/>
        <v>46043</v>
      </c>
      <c r="F65" s="5">
        <v>49.0</v>
      </c>
      <c r="G65" s="3" t="s">
        <v>22</v>
      </c>
      <c r="H65" s="3" t="s">
        <v>48</v>
      </c>
      <c r="I65" s="5">
        <v>13.0</v>
      </c>
      <c r="J65" s="8" t="str">
        <f>IFERROR(IFNA(vlookup(C65,merchants!$A$1:$D$41,2,FALSE),"Merchant not found"), "Merchant not found")</f>
        <v>Merchant_032</v>
      </c>
      <c r="K65" s="8" t="str">
        <f>IFERROR(IFNA(vlookup(C65,merchants!$A$1:$D$41,3,FALSE),"Merchant not found"), "Merchant not found")</f>
        <v>food_delivery</v>
      </c>
      <c r="L65" s="8" t="str">
        <f>IFERROR(IFNA(vlookup(C65,merchants!$A$1:$D$41,4,FALSE),"Merchant not found"), "Merchant not found")</f>
        <v>West</v>
      </c>
      <c r="M65" s="8">
        <f>IFERROR(IFNA(hlookup(G65,payment_methods!$A$1:$E$2,2,FALSE),"Payment method not found"), "Payment method not found")</f>
        <v>0.01</v>
      </c>
      <c r="N65" s="8">
        <f t="shared" si="2"/>
        <v>348</v>
      </c>
      <c r="O65" s="8" t="str">
        <f t="shared" si="3"/>
        <v>Normal</v>
      </c>
    </row>
    <row r="66" ht="15.75" customHeight="1">
      <c r="A66" s="3" t="s">
        <v>183</v>
      </c>
      <c r="B66" s="5">
        <v>236.0</v>
      </c>
      <c r="C66" s="5">
        <v>10.0</v>
      </c>
      <c r="D66" s="9">
        <v>46036.48611111111</v>
      </c>
      <c r="E66" s="10">
        <f t="shared" si="1"/>
        <v>46036</v>
      </c>
      <c r="F66" s="5">
        <v>499.0</v>
      </c>
      <c r="G66" s="3" t="s">
        <v>20</v>
      </c>
      <c r="H66" s="3" t="s">
        <v>48</v>
      </c>
      <c r="I66" s="5">
        <v>55.0</v>
      </c>
      <c r="J66" s="8" t="str">
        <f>IFERROR(IFNA(vlookup(C66,merchants!$A$1:$D$41,2,FALSE),"Merchant not found"), "Merchant not found")</f>
        <v>Merchant_010</v>
      </c>
      <c r="K66" s="8" t="str">
        <f>IFERROR(IFNA(vlookup(C66,merchants!$A$1:$D$41,3,FALSE),"Merchant not found"), "Merchant not found")</f>
        <v>grocery</v>
      </c>
      <c r="L66" s="8" t="str">
        <f>IFERROR(IFNA(vlookup(C66,merchants!$A$1:$D$41,4,FALSE),"Merchant not found"), "Merchant not found")</f>
        <v>West</v>
      </c>
      <c r="M66" s="8">
        <f>IFERROR(IFNA(hlookup(G66,payment_methods!$A$1:$E$2,2,FALSE),"Payment method not found"), "Payment method not found")</f>
        <v>0</v>
      </c>
      <c r="N66" s="8">
        <f t="shared" si="2"/>
        <v>499</v>
      </c>
      <c r="O66" s="8" t="str">
        <f t="shared" si="3"/>
        <v>Normal</v>
      </c>
    </row>
    <row r="67" ht="15.75" customHeight="1">
      <c r="A67" s="3" t="s">
        <v>184</v>
      </c>
      <c r="B67" s="5">
        <v>334.0</v>
      </c>
      <c r="C67" s="5">
        <v>18.0</v>
      </c>
      <c r="D67" s="9">
        <v>46028.98125</v>
      </c>
      <c r="E67" s="10">
        <f t="shared" si="1"/>
        <v>46028</v>
      </c>
      <c r="F67" s="5">
        <v>499.0</v>
      </c>
      <c r="G67" s="3" t="s">
        <v>22</v>
      </c>
      <c r="H67" s="3" t="s">
        <v>48</v>
      </c>
      <c r="I67" s="5">
        <v>78.0</v>
      </c>
      <c r="J67" s="8" t="str">
        <f>IFERROR(IFNA(vlookup(C67,merchants!$A$1:$D$41,2,FALSE),"Merchant not found"), "Merchant not found")</f>
        <v>Merchant_018</v>
      </c>
      <c r="K67" s="8" t="str">
        <f>IFERROR(IFNA(vlookup(C67,merchants!$A$1:$D$41,3,FALSE),"Merchant not found"), "Merchant not found")</f>
        <v>grocery</v>
      </c>
      <c r="L67" s="8" t="str">
        <f>IFERROR(IFNA(vlookup(C67,merchants!$A$1:$D$41,4,FALSE),"Merchant not found"), "Merchant not found")</f>
        <v>West</v>
      </c>
      <c r="M67" s="8">
        <f>IFERROR(IFNA(hlookup(G67,payment_methods!$A$1:$E$2,2,FALSE),"Payment method not found"), "Payment method not found")</f>
        <v>0.01</v>
      </c>
      <c r="N67" s="8">
        <f t="shared" si="2"/>
        <v>499</v>
      </c>
      <c r="O67" s="8" t="str">
        <f t="shared" si="3"/>
        <v>Normal</v>
      </c>
    </row>
    <row r="68" ht="15.75" customHeight="1">
      <c r="A68" s="3" t="s">
        <v>185</v>
      </c>
      <c r="B68" s="5">
        <v>248.0</v>
      </c>
      <c r="C68" s="5">
        <v>30.0</v>
      </c>
      <c r="D68" s="9">
        <v>46048.74236111111</v>
      </c>
      <c r="E68" s="10">
        <f t="shared" si="1"/>
        <v>46048</v>
      </c>
      <c r="F68" s="5">
        <v>799.0</v>
      </c>
      <c r="G68" s="3" t="s">
        <v>15</v>
      </c>
      <c r="H68" s="3" t="s">
        <v>48</v>
      </c>
      <c r="I68" s="5">
        <v>55.0</v>
      </c>
      <c r="J68" s="8" t="str">
        <f>IFERROR(IFNA(vlookup(C68,merchants!$A$1:$D$41,2,FALSE),"Merchant not found"), "Merchant not found")</f>
        <v>Merchant_030</v>
      </c>
      <c r="K68" s="8" t="str">
        <f>IFERROR(IFNA(vlookup(C68,merchants!$A$1:$D$41,3,FALSE),"Merchant not found"), "Merchant not found")</f>
        <v>travel</v>
      </c>
      <c r="L68" s="8" t="str">
        <f>IFERROR(IFNA(vlookup(C68,merchants!$A$1:$D$41,4,FALSE),"Merchant not found"), "Merchant not found")</f>
        <v>West</v>
      </c>
      <c r="M68" s="8">
        <f>IFERROR(IFNA(hlookup(G68,payment_methods!$A$1:$E$2,2,FALSE),"Payment method not found"), "Payment method not found")</f>
        <v>0.0025</v>
      </c>
      <c r="N68" s="8">
        <f t="shared" si="2"/>
        <v>799</v>
      </c>
      <c r="O68" s="8" t="str">
        <f t="shared" si="3"/>
        <v>Normal</v>
      </c>
    </row>
    <row r="69" ht="15.75" customHeight="1">
      <c r="A69" s="3" t="s">
        <v>186</v>
      </c>
      <c r="B69" s="5">
        <v>138.0</v>
      </c>
      <c r="C69" s="5">
        <v>21.0</v>
      </c>
      <c r="D69" s="9">
        <v>46049.98402777778</v>
      </c>
      <c r="E69" s="10">
        <f t="shared" si="1"/>
        <v>46049</v>
      </c>
      <c r="F69" s="5">
        <v>49.0</v>
      </c>
      <c r="G69" s="3" t="s">
        <v>22</v>
      </c>
      <c r="H69" s="3" t="s">
        <v>48</v>
      </c>
      <c r="I69" s="5">
        <v>31.0</v>
      </c>
      <c r="J69" s="8" t="str">
        <f>IFERROR(IFNA(vlookup(C69,merchants!$A$1:$D$41,2,FALSE),"Merchant not found"), "Merchant not found")</f>
        <v>Merchant_021</v>
      </c>
      <c r="K69" s="8" t="str">
        <f>IFERROR(IFNA(vlookup(C69,merchants!$A$1:$D$41,3,FALSE),"Merchant not found"), "Merchant not found")</f>
        <v>food_delivery</v>
      </c>
      <c r="L69" s="8" t="str">
        <f>IFERROR(IFNA(vlookup(C69,merchants!$A$1:$D$41,4,FALSE),"Merchant not found"), "Merchant not found")</f>
        <v>East</v>
      </c>
      <c r="M69" s="8">
        <f>IFERROR(IFNA(hlookup(G69,payment_methods!$A$1:$E$2,2,FALSE),"Payment method not found"), "Payment method not found")</f>
        <v>0.01</v>
      </c>
      <c r="N69" s="8">
        <f t="shared" si="2"/>
        <v>49</v>
      </c>
      <c r="O69" s="8" t="str">
        <f t="shared" si="3"/>
        <v>Normal</v>
      </c>
    </row>
    <row r="70" ht="15.75" customHeight="1">
      <c r="A70" s="3" t="s">
        <v>187</v>
      </c>
      <c r="B70" s="5">
        <v>231.0</v>
      </c>
      <c r="C70" s="5">
        <v>16.0</v>
      </c>
      <c r="D70" s="9">
        <v>46049.095138888886</v>
      </c>
      <c r="E70" s="10">
        <f t="shared" si="1"/>
        <v>46049</v>
      </c>
      <c r="F70" s="5">
        <v>49.0</v>
      </c>
      <c r="G70" s="3" t="s">
        <v>20</v>
      </c>
      <c r="H70" s="3" t="s">
        <v>48</v>
      </c>
      <c r="I70" s="5">
        <v>96.0</v>
      </c>
      <c r="J70" s="8" t="str">
        <f>IFERROR(IFNA(vlookup(C70,merchants!$A$1:$D$41,2,FALSE),"Merchant not found"), "Merchant not found")</f>
        <v>Merchant_016</v>
      </c>
      <c r="K70" s="8" t="str">
        <f>IFERROR(IFNA(vlookup(C70,merchants!$A$1:$D$41,3,FALSE),"Merchant not found"), "Merchant not found")</f>
        <v>bill_payment</v>
      </c>
      <c r="L70" s="8" t="str">
        <f>IFERROR(IFNA(vlookup(C70,merchants!$A$1:$D$41,4,FALSE),"Merchant not found"), "Merchant not found")</f>
        <v>West</v>
      </c>
      <c r="M70" s="8">
        <f>IFERROR(IFNA(hlookup(G70,payment_methods!$A$1:$E$2,2,FALSE),"Payment method not found"), "Payment method not found")</f>
        <v>0</v>
      </c>
      <c r="N70" s="8">
        <f t="shared" si="2"/>
        <v>348</v>
      </c>
      <c r="O70" s="8" t="str">
        <f t="shared" si="3"/>
        <v>Normal</v>
      </c>
    </row>
    <row r="71" ht="15.75" customHeight="1">
      <c r="A71" s="3" t="s">
        <v>188</v>
      </c>
      <c r="B71" s="5">
        <v>343.0</v>
      </c>
      <c r="C71" s="5">
        <v>25.0</v>
      </c>
      <c r="D71" s="9">
        <v>46037.777083333334</v>
      </c>
      <c r="E71" s="10">
        <f t="shared" si="1"/>
        <v>46037</v>
      </c>
      <c r="F71" s="5">
        <v>49.0</v>
      </c>
      <c r="G71" s="3" t="s">
        <v>20</v>
      </c>
      <c r="H71" s="3" t="s">
        <v>48</v>
      </c>
      <c r="I71" s="5">
        <v>43.0</v>
      </c>
      <c r="J71" s="8" t="str">
        <f>IFERROR(IFNA(vlookup(C71,merchants!$A$1:$D$41,2,FALSE),"Merchant not found"), "Merchant not found")</f>
        <v>Merchant_025</v>
      </c>
      <c r="K71" s="8" t="str">
        <f>IFERROR(IFNA(vlookup(C71,merchants!$A$1:$D$41,3,FALSE),"Merchant not found"), "Merchant not found")</f>
        <v>travel</v>
      </c>
      <c r="L71" s="8" t="str">
        <f>IFERROR(IFNA(vlookup(C71,merchants!$A$1:$D$41,4,FALSE),"Merchant not found"), "Merchant not found")</f>
        <v>South</v>
      </c>
      <c r="M71" s="8">
        <f>IFERROR(IFNA(hlookup(G71,payment_methods!$A$1:$E$2,2,FALSE),"Payment method not found"), "Payment method not found")</f>
        <v>0</v>
      </c>
      <c r="N71" s="8">
        <f t="shared" si="2"/>
        <v>49</v>
      </c>
      <c r="O71" s="8" t="str">
        <f t="shared" si="3"/>
        <v>Normal</v>
      </c>
    </row>
    <row r="72" ht="15.75" customHeight="1">
      <c r="A72" s="3" t="s">
        <v>189</v>
      </c>
      <c r="B72" s="5">
        <v>167.0</v>
      </c>
      <c r="C72" s="5">
        <v>12.0</v>
      </c>
      <c r="D72" s="9">
        <v>46023.6625</v>
      </c>
      <c r="E72" s="10">
        <f t="shared" si="1"/>
        <v>46023</v>
      </c>
      <c r="F72" s="5">
        <v>499.0</v>
      </c>
      <c r="G72" s="3" t="s">
        <v>15</v>
      </c>
      <c r="H72" s="3" t="s">
        <v>48</v>
      </c>
      <c r="I72" s="5">
        <v>62.0</v>
      </c>
      <c r="J72" s="8" t="str">
        <f>IFERROR(IFNA(vlookup(C72,merchants!$A$1:$D$41,2,FALSE),"Merchant not found"), "Merchant not found")</f>
        <v>Merchant_012</v>
      </c>
      <c r="K72" s="8" t="str">
        <f>IFERROR(IFNA(vlookup(C72,merchants!$A$1:$D$41,3,FALSE),"Merchant not found"), "Merchant not found")</f>
        <v>ecommerce</v>
      </c>
      <c r="L72" s="8" t="str">
        <f>IFERROR(IFNA(vlookup(C72,merchants!$A$1:$D$41,4,FALSE),"Merchant not found"), "Merchant not found")</f>
        <v>East</v>
      </c>
      <c r="M72" s="8">
        <f>IFERROR(IFNA(hlookup(G72,payment_methods!$A$1:$E$2,2,FALSE),"Payment method not found"), "Payment method not found")</f>
        <v>0.0025</v>
      </c>
      <c r="N72" s="8">
        <f t="shared" si="2"/>
        <v>548</v>
      </c>
      <c r="O72" s="8" t="str">
        <f t="shared" si="3"/>
        <v>Normal</v>
      </c>
    </row>
    <row r="73" ht="15.75" customHeight="1">
      <c r="A73" s="3" t="s">
        <v>190</v>
      </c>
      <c r="B73" s="5">
        <v>133.0</v>
      </c>
      <c r="C73" s="5">
        <v>22.0</v>
      </c>
      <c r="D73" s="9">
        <v>46029.49375</v>
      </c>
      <c r="E73" s="10">
        <f t="shared" si="1"/>
        <v>46029</v>
      </c>
      <c r="F73" s="5">
        <v>499.0</v>
      </c>
      <c r="G73" s="3" t="s">
        <v>20</v>
      </c>
      <c r="H73" s="3" t="s">
        <v>48</v>
      </c>
      <c r="I73" s="5">
        <v>35.0</v>
      </c>
      <c r="J73" s="8" t="str">
        <f>IFERROR(IFNA(vlookup(C73,merchants!$A$1:$D$41,2,FALSE),"Merchant not found"), "Merchant not found")</f>
        <v>Merchant_022</v>
      </c>
      <c r="K73" s="8" t="str">
        <f>IFERROR(IFNA(vlookup(C73,merchants!$A$1:$D$41,3,FALSE),"Merchant not found"), "Merchant not found")</f>
        <v>travel</v>
      </c>
      <c r="L73" s="8" t="str">
        <f>IFERROR(IFNA(vlookup(C73,merchants!$A$1:$D$41,4,FALSE),"Merchant not found"), "Merchant not found")</f>
        <v>South</v>
      </c>
      <c r="M73" s="8">
        <f>IFERROR(IFNA(hlookup(G73,payment_methods!$A$1:$E$2,2,FALSE),"Payment method not found"), "Payment method not found")</f>
        <v>0</v>
      </c>
      <c r="N73" s="8">
        <f t="shared" si="2"/>
        <v>499</v>
      </c>
      <c r="O73" s="8" t="str">
        <f t="shared" si="3"/>
        <v>Normal</v>
      </c>
    </row>
    <row r="74" ht="15.75" customHeight="1">
      <c r="A74" s="3" t="s">
        <v>191</v>
      </c>
      <c r="B74" s="5">
        <v>142.0</v>
      </c>
      <c r="C74" s="5">
        <v>36.0</v>
      </c>
      <c r="D74" s="9">
        <v>46051.822222222225</v>
      </c>
      <c r="E74" s="10">
        <f t="shared" si="1"/>
        <v>46051</v>
      </c>
      <c r="F74" s="5">
        <v>799.0</v>
      </c>
      <c r="G74" s="3" t="s">
        <v>15</v>
      </c>
      <c r="H74" s="3" t="s">
        <v>48</v>
      </c>
      <c r="I74" s="5">
        <v>1.0</v>
      </c>
      <c r="J74" s="8" t="str">
        <f>IFERROR(IFNA(vlookup(C74,merchants!$A$1:$D$41,2,FALSE),"Merchant not found"), "Merchant not found")</f>
        <v>Merchant_036</v>
      </c>
      <c r="K74" s="8" t="str">
        <f>IFERROR(IFNA(vlookup(C74,merchants!$A$1:$D$41,3,FALSE),"Merchant not found"), "Merchant not found")</f>
        <v>entertainment</v>
      </c>
      <c r="L74" s="8" t="str">
        <f>IFERROR(IFNA(vlookup(C74,merchants!$A$1:$D$41,4,FALSE),"Merchant not found"), "Merchant not found")</f>
        <v>East</v>
      </c>
      <c r="M74" s="8">
        <f>IFERROR(IFNA(hlookup(G74,payment_methods!$A$1:$E$2,2,FALSE),"Payment method not found"), "Payment method not found")</f>
        <v>0.0025</v>
      </c>
      <c r="N74" s="8">
        <f t="shared" si="2"/>
        <v>799</v>
      </c>
      <c r="O74" s="8" t="str">
        <f t="shared" si="3"/>
        <v>Normal</v>
      </c>
    </row>
    <row r="75" ht="15.75" customHeight="1">
      <c r="A75" s="3" t="s">
        <v>192</v>
      </c>
      <c r="B75" s="5">
        <v>124.0</v>
      </c>
      <c r="C75" s="5">
        <v>27.0</v>
      </c>
      <c r="D75" s="9">
        <v>46039.25347222222</v>
      </c>
      <c r="E75" s="10">
        <f t="shared" si="1"/>
        <v>46039</v>
      </c>
      <c r="F75" s="5">
        <v>499.0</v>
      </c>
      <c r="G75" s="3" t="s">
        <v>15</v>
      </c>
      <c r="H75" s="3" t="s">
        <v>48</v>
      </c>
      <c r="I75" s="5">
        <v>62.0</v>
      </c>
      <c r="J75" s="8" t="str">
        <f>IFERROR(IFNA(vlookup(C75,merchants!$A$1:$D$41,2,FALSE),"Merchant not found"), "Merchant not found")</f>
        <v>Merchant_027</v>
      </c>
      <c r="K75" s="8" t="str">
        <f>IFERROR(IFNA(vlookup(C75,merchants!$A$1:$D$41,3,FALSE),"Merchant not found"), "Merchant not found")</f>
        <v>ecommerce</v>
      </c>
      <c r="L75" s="8" t="str">
        <f>IFERROR(IFNA(vlookup(C75,merchants!$A$1:$D$41,4,FALSE),"Merchant not found"), "Merchant not found")</f>
        <v>North</v>
      </c>
      <c r="M75" s="8">
        <f>IFERROR(IFNA(hlookup(G75,payment_methods!$A$1:$E$2,2,FALSE),"Payment method not found"), "Payment method not found")</f>
        <v>0.0025</v>
      </c>
      <c r="N75" s="8">
        <f t="shared" si="2"/>
        <v>1597</v>
      </c>
      <c r="O75" s="8" t="str">
        <f t="shared" si="3"/>
        <v>Normal</v>
      </c>
    </row>
    <row r="76" ht="15.75" customHeight="1">
      <c r="A76" s="3" t="s">
        <v>193</v>
      </c>
      <c r="B76" s="5">
        <v>244.0</v>
      </c>
      <c r="C76" s="5">
        <v>32.0</v>
      </c>
      <c r="D76" s="9">
        <v>46040.322222222225</v>
      </c>
      <c r="E76" s="10">
        <f t="shared" si="1"/>
        <v>46040</v>
      </c>
      <c r="F76" s="5">
        <v>149.0</v>
      </c>
      <c r="G76" s="3" t="s">
        <v>20</v>
      </c>
      <c r="H76" s="3" t="s">
        <v>48</v>
      </c>
      <c r="I76" s="5">
        <v>57.0</v>
      </c>
      <c r="J76" s="8" t="str">
        <f>IFERROR(IFNA(vlookup(C76,merchants!$A$1:$D$41,2,FALSE),"Merchant not found"), "Merchant not found")</f>
        <v>Merchant_032</v>
      </c>
      <c r="K76" s="8" t="str">
        <f>IFERROR(IFNA(vlookup(C76,merchants!$A$1:$D$41,3,FALSE),"Merchant not found"), "Merchant not found")</f>
        <v>food_delivery</v>
      </c>
      <c r="L76" s="8" t="str">
        <f>IFERROR(IFNA(vlookup(C76,merchants!$A$1:$D$41,4,FALSE),"Merchant not found"), "Merchant not found")</f>
        <v>West</v>
      </c>
      <c r="M76" s="8">
        <f>IFERROR(IFNA(hlookup(G76,payment_methods!$A$1:$E$2,2,FALSE),"Payment method not found"), "Payment method not found")</f>
        <v>0</v>
      </c>
      <c r="N76" s="8">
        <f t="shared" si="2"/>
        <v>149</v>
      </c>
      <c r="O76" s="8" t="str">
        <f t="shared" si="3"/>
        <v>Normal</v>
      </c>
    </row>
    <row r="77" ht="15.75" customHeight="1">
      <c r="A77" s="3" t="s">
        <v>194</v>
      </c>
      <c r="B77" s="5">
        <v>151.0</v>
      </c>
      <c r="C77" s="5">
        <v>15.0</v>
      </c>
      <c r="D77" s="9">
        <v>46048.00347222222</v>
      </c>
      <c r="E77" s="10">
        <f t="shared" si="1"/>
        <v>46048</v>
      </c>
      <c r="F77" s="5">
        <v>4999.0</v>
      </c>
      <c r="G77" s="3" t="s">
        <v>20</v>
      </c>
      <c r="H77" s="3" t="s">
        <v>48</v>
      </c>
      <c r="I77" s="5">
        <v>51.0</v>
      </c>
      <c r="J77" s="8" t="str">
        <f>IFERROR(IFNA(vlookup(C77,merchants!$A$1:$D$41,2,FALSE),"Merchant not found"), "Merchant not found")</f>
        <v>Merchant_015</v>
      </c>
      <c r="K77" s="8" t="str">
        <f>IFERROR(IFNA(vlookup(C77,merchants!$A$1:$D$41,3,FALSE),"Merchant not found"), "Merchant not found")</f>
        <v>travel</v>
      </c>
      <c r="L77" s="8" t="str">
        <f>IFERROR(IFNA(vlookup(C77,merchants!$A$1:$D$41,4,FALSE),"Merchant not found"), "Merchant not found")</f>
        <v>North</v>
      </c>
      <c r="M77" s="8">
        <f>IFERROR(IFNA(hlookup(G77,payment_methods!$A$1:$E$2,2,FALSE),"Payment method not found"), "Payment method not found")</f>
        <v>0</v>
      </c>
      <c r="N77" s="8">
        <f t="shared" si="2"/>
        <v>4999</v>
      </c>
      <c r="O77" s="8" t="str">
        <f t="shared" si="3"/>
        <v>Normal</v>
      </c>
    </row>
    <row r="78" ht="15.75" customHeight="1">
      <c r="A78" s="3" t="s">
        <v>195</v>
      </c>
      <c r="B78" s="5">
        <v>340.0</v>
      </c>
      <c r="C78" s="5">
        <v>38.0</v>
      </c>
      <c r="D78" s="9">
        <v>46045.30486111111</v>
      </c>
      <c r="E78" s="10">
        <f t="shared" si="1"/>
        <v>46045</v>
      </c>
      <c r="F78" s="5">
        <v>499.0</v>
      </c>
      <c r="G78" s="3" t="s">
        <v>22</v>
      </c>
      <c r="H78" s="3" t="s">
        <v>48</v>
      </c>
      <c r="I78" s="5">
        <v>47.0</v>
      </c>
      <c r="J78" s="8" t="str">
        <f>IFERROR(IFNA(vlookup(C78,merchants!$A$1:$D$41,2,FALSE),"Merchant not found"), "Merchant not found")</f>
        <v>Merchant_038</v>
      </c>
      <c r="K78" s="8" t="str">
        <f>IFERROR(IFNA(vlookup(C78,merchants!$A$1:$D$41,3,FALSE),"Merchant not found"), "Merchant not found")</f>
        <v>grocery</v>
      </c>
      <c r="L78" s="8" t="str">
        <f>IFERROR(IFNA(vlookup(C78,merchants!$A$1:$D$41,4,FALSE),"Merchant not found"), "Merchant not found")</f>
        <v>East</v>
      </c>
      <c r="M78" s="8">
        <f>IFERROR(IFNA(hlookup(G78,payment_methods!$A$1:$E$2,2,FALSE),"Payment method not found"), "Payment method not found")</f>
        <v>0.01</v>
      </c>
      <c r="N78" s="8">
        <f t="shared" si="2"/>
        <v>499</v>
      </c>
      <c r="O78" s="8" t="str">
        <f t="shared" si="3"/>
        <v>Normal</v>
      </c>
    </row>
    <row r="79" ht="15.75" customHeight="1">
      <c r="A79" s="3" t="s">
        <v>196</v>
      </c>
      <c r="B79" s="5">
        <v>177.0</v>
      </c>
      <c r="C79" s="5">
        <v>28.0</v>
      </c>
      <c r="D79" s="9">
        <v>46038.73125</v>
      </c>
      <c r="E79" s="10">
        <f t="shared" si="1"/>
        <v>46038</v>
      </c>
      <c r="F79" s="5">
        <v>299.0</v>
      </c>
      <c r="G79" s="3" t="s">
        <v>20</v>
      </c>
      <c r="H79" s="3" t="s">
        <v>48</v>
      </c>
      <c r="I79" s="5">
        <v>95.0</v>
      </c>
      <c r="J79" s="8" t="str">
        <f>IFERROR(IFNA(vlookup(C79,merchants!$A$1:$D$41,2,FALSE),"Merchant not found"), "Merchant not found")</f>
        <v>Merchant_028</v>
      </c>
      <c r="K79" s="8" t="str">
        <f>IFERROR(IFNA(vlookup(C79,merchants!$A$1:$D$41,3,FALSE),"Merchant not found"), "Merchant not found")</f>
        <v>ecommerce</v>
      </c>
      <c r="L79" s="8" t="str">
        <f>IFERROR(IFNA(vlookup(C79,merchants!$A$1:$D$41,4,FALSE),"Merchant not found"), "Merchant not found")</f>
        <v>South</v>
      </c>
      <c r="M79" s="8">
        <f>IFERROR(IFNA(hlookup(G79,payment_methods!$A$1:$E$2,2,FALSE),"Payment method not found"), "Payment method not found")</f>
        <v>0</v>
      </c>
      <c r="N79" s="8">
        <f t="shared" si="2"/>
        <v>299</v>
      </c>
      <c r="O79" s="8" t="str">
        <f t="shared" si="3"/>
        <v>Normal</v>
      </c>
    </row>
    <row r="80" ht="15.75" customHeight="1">
      <c r="A80" s="3" t="s">
        <v>197</v>
      </c>
      <c r="B80" s="5">
        <v>233.0</v>
      </c>
      <c r="C80" s="5">
        <v>18.0</v>
      </c>
      <c r="D80" s="9">
        <v>46040.43194444444</v>
      </c>
      <c r="E80" s="10">
        <f t="shared" si="1"/>
        <v>46040</v>
      </c>
      <c r="F80" s="5">
        <v>499.0</v>
      </c>
      <c r="G80" s="3" t="s">
        <v>20</v>
      </c>
      <c r="H80" s="3" t="s">
        <v>48</v>
      </c>
      <c r="I80" s="5">
        <v>39.0</v>
      </c>
      <c r="J80" s="8" t="str">
        <f>IFERROR(IFNA(vlookup(C80,merchants!$A$1:$D$41,2,FALSE),"Merchant not found"), "Merchant not found")</f>
        <v>Merchant_018</v>
      </c>
      <c r="K80" s="8" t="str">
        <f>IFERROR(IFNA(vlookup(C80,merchants!$A$1:$D$41,3,FALSE),"Merchant not found"), "Merchant not found")</f>
        <v>grocery</v>
      </c>
      <c r="L80" s="8" t="str">
        <f>IFERROR(IFNA(vlookup(C80,merchants!$A$1:$D$41,4,FALSE),"Merchant not found"), "Merchant not found")</f>
        <v>West</v>
      </c>
      <c r="M80" s="8">
        <f>IFERROR(IFNA(hlookup(G80,payment_methods!$A$1:$E$2,2,FALSE),"Payment method not found"), "Payment method not found")</f>
        <v>0</v>
      </c>
      <c r="N80" s="8">
        <f t="shared" si="2"/>
        <v>499</v>
      </c>
      <c r="O80" s="8" t="str">
        <f t="shared" si="3"/>
        <v>Normal</v>
      </c>
    </row>
    <row r="81" ht="15.75" customHeight="1">
      <c r="A81" s="3" t="s">
        <v>198</v>
      </c>
      <c r="B81" s="5">
        <v>99.0</v>
      </c>
      <c r="C81" s="5">
        <v>21.0</v>
      </c>
      <c r="D81" s="9">
        <v>46031.29652777778</v>
      </c>
      <c r="E81" s="10">
        <f t="shared" si="1"/>
        <v>46031</v>
      </c>
      <c r="F81" s="5">
        <v>499.0</v>
      </c>
      <c r="G81" s="3" t="s">
        <v>20</v>
      </c>
      <c r="H81" s="3" t="s">
        <v>48</v>
      </c>
      <c r="I81" s="5">
        <v>15.0</v>
      </c>
      <c r="J81" s="8" t="str">
        <f>IFERROR(IFNA(vlookup(C81,merchants!$A$1:$D$41,2,FALSE),"Merchant not found"), "Merchant not found")</f>
        <v>Merchant_021</v>
      </c>
      <c r="K81" s="8" t="str">
        <f>IFERROR(IFNA(vlookup(C81,merchants!$A$1:$D$41,3,FALSE),"Merchant not found"), "Merchant not found")</f>
        <v>food_delivery</v>
      </c>
      <c r="L81" s="8" t="str">
        <f>IFERROR(IFNA(vlookup(C81,merchants!$A$1:$D$41,4,FALSE),"Merchant not found"), "Merchant not found")</f>
        <v>East</v>
      </c>
      <c r="M81" s="8">
        <f>IFERROR(IFNA(hlookup(G81,payment_methods!$A$1:$E$2,2,FALSE),"Payment method not found"), "Payment method not found")</f>
        <v>0</v>
      </c>
      <c r="N81" s="8">
        <f t="shared" si="2"/>
        <v>499</v>
      </c>
      <c r="O81" s="8" t="str">
        <f t="shared" si="3"/>
        <v>Normal</v>
      </c>
    </row>
    <row r="82" ht="15.75" customHeight="1">
      <c r="A82" s="3" t="s">
        <v>199</v>
      </c>
      <c r="B82" s="5">
        <v>95.0</v>
      </c>
      <c r="C82" s="5">
        <v>13.0</v>
      </c>
      <c r="D82" s="9">
        <v>46046.74166666667</v>
      </c>
      <c r="E82" s="10">
        <f t="shared" si="1"/>
        <v>46046</v>
      </c>
      <c r="F82" s="5">
        <v>2999.0</v>
      </c>
      <c r="G82" s="3" t="s">
        <v>25</v>
      </c>
      <c r="H82" s="3" t="s">
        <v>78</v>
      </c>
      <c r="I82" s="5">
        <v>27.0</v>
      </c>
      <c r="J82" s="8" t="str">
        <f>IFERROR(IFNA(vlookup(C82,merchants!$A$1:$D$41,2,FALSE),"Merchant not found"), "Merchant not found")</f>
        <v>Merchant_013</v>
      </c>
      <c r="K82" s="8" t="str">
        <f>IFERROR(IFNA(vlookup(C82,merchants!$A$1:$D$41,3,FALSE),"Merchant not found"), "Merchant not found")</f>
        <v>travel</v>
      </c>
      <c r="L82" s="8" t="str">
        <f>IFERROR(IFNA(vlookup(C82,merchants!$A$1:$D$41,4,FALSE),"Merchant not found"), "Merchant not found")</f>
        <v>East</v>
      </c>
      <c r="M82" s="8">
        <f>IFERROR(IFNA(hlookup(G82,payment_methods!$A$1:$E$2,2,FALSE),"Payment method not found"), "Payment method not found")</f>
        <v>0.005</v>
      </c>
      <c r="N82" s="8">
        <f t="shared" si="2"/>
        <v>2999</v>
      </c>
      <c r="O82" s="8" t="str">
        <f t="shared" si="3"/>
        <v>Normal</v>
      </c>
    </row>
    <row r="83" ht="15.75" customHeight="1">
      <c r="A83" s="3" t="s">
        <v>200</v>
      </c>
      <c r="B83" s="5">
        <v>302.0</v>
      </c>
      <c r="C83" s="5">
        <v>34.0</v>
      </c>
      <c r="D83" s="9">
        <v>46046.63680555556</v>
      </c>
      <c r="E83" s="10">
        <f t="shared" si="1"/>
        <v>46046</v>
      </c>
      <c r="F83" s="5">
        <v>49.0</v>
      </c>
      <c r="G83" s="3" t="s">
        <v>25</v>
      </c>
      <c r="H83" s="3" t="s">
        <v>48</v>
      </c>
      <c r="I83" s="5">
        <v>76.0</v>
      </c>
      <c r="J83" s="8" t="str">
        <f>IFERROR(IFNA(vlookup(C83,merchants!$A$1:$D$41,2,FALSE),"Merchant not found"), "Merchant not found")</f>
        <v>Merchant_034</v>
      </c>
      <c r="K83" s="8" t="str">
        <f>IFERROR(IFNA(vlookup(C83,merchants!$A$1:$D$41,3,FALSE),"Merchant not found"), "Merchant not found")</f>
        <v>travel</v>
      </c>
      <c r="L83" s="8" t="str">
        <f>IFERROR(IFNA(vlookup(C83,merchants!$A$1:$D$41,4,FALSE),"Merchant not found"), "Merchant not found")</f>
        <v>South</v>
      </c>
      <c r="M83" s="8">
        <f>IFERROR(IFNA(hlookup(G83,payment_methods!$A$1:$E$2,2,FALSE),"Payment method not found"), "Payment method not found")</f>
        <v>0.005</v>
      </c>
      <c r="N83" s="8">
        <f t="shared" si="2"/>
        <v>548</v>
      </c>
      <c r="O83" s="8" t="str">
        <f t="shared" si="3"/>
        <v>Normal</v>
      </c>
    </row>
    <row r="84" ht="15.75" customHeight="1">
      <c r="A84" s="3" t="s">
        <v>201</v>
      </c>
      <c r="B84" s="5">
        <v>100.0</v>
      </c>
      <c r="C84" s="5">
        <v>19.0</v>
      </c>
      <c r="D84" s="9">
        <v>46032.16180555556</v>
      </c>
      <c r="E84" s="10">
        <f t="shared" si="1"/>
        <v>46032</v>
      </c>
      <c r="F84" s="5">
        <v>2999.0</v>
      </c>
      <c r="G84" s="3" t="s">
        <v>25</v>
      </c>
      <c r="H84" s="3" t="s">
        <v>48</v>
      </c>
      <c r="I84" s="5">
        <v>29.0</v>
      </c>
      <c r="J84" s="8" t="str">
        <f>IFERROR(IFNA(vlookup(C84,merchants!$A$1:$D$41,2,FALSE),"Merchant not found"), "Merchant not found")</f>
        <v>Merchant_019</v>
      </c>
      <c r="K84" s="8" t="str">
        <f>IFERROR(IFNA(vlookup(C84,merchants!$A$1:$D$41,3,FALSE),"Merchant not found"), "Merchant not found")</f>
        <v>grocery</v>
      </c>
      <c r="L84" s="8" t="str">
        <f>IFERROR(IFNA(vlookup(C84,merchants!$A$1:$D$41,4,FALSE),"Merchant not found"), "Merchant not found")</f>
        <v>North</v>
      </c>
      <c r="M84" s="8">
        <f>IFERROR(IFNA(hlookup(G84,payment_methods!$A$1:$E$2,2,FALSE),"Payment method not found"), "Payment method not found")</f>
        <v>0.005</v>
      </c>
      <c r="N84" s="8">
        <f t="shared" si="2"/>
        <v>2999</v>
      </c>
      <c r="O84" s="8" t="str">
        <f t="shared" si="3"/>
        <v>Normal</v>
      </c>
    </row>
    <row r="85" ht="15.75" customHeight="1">
      <c r="A85" s="3" t="s">
        <v>202</v>
      </c>
      <c r="B85" s="5">
        <v>8.0</v>
      </c>
      <c r="C85" s="5">
        <v>35.0</v>
      </c>
      <c r="D85" s="9">
        <v>46034.22152777778</v>
      </c>
      <c r="E85" s="10">
        <f t="shared" si="1"/>
        <v>46034</v>
      </c>
      <c r="F85" s="5">
        <v>99.0</v>
      </c>
      <c r="G85" s="3" t="s">
        <v>20</v>
      </c>
      <c r="H85" s="3" t="s">
        <v>48</v>
      </c>
      <c r="I85" s="5">
        <v>16.0</v>
      </c>
      <c r="J85" s="8" t="str">
        <f>IFERROR(IFNA(vlookup(C85,merchants!$A$1:$D$41,2,FALSE),"Merchant not found"), "Merchant not found")</f>
        <v>Merchant_035</v>
      </c>
      <c r="K85" s="8" t="str">
        <f>IFERROR(IFNA(vlookup(C85,merchants!$A$1:$D$41,3,FALSE),"Merchant not found"), "Merchant not found")</f>
        <v>recharge</v>
      </c>
      <c r="L85" s="8" t="str">
        <f>IFERROR(IFNA(vlookup(C85,merchants!$A$1:$D$41,4,FALSE),"Merchant not found"), "Merchant not found")</f>
        <v>East</v>
      </c>
      <c r="M85" s="8">
        <f>IFERROR(IFNA(hlookup(G85,payment_methods!$A$1:$E$2,2,FALSE),"Payment method not found"), "Payment method not found")</f>
        <v>0</v>
      </c>
      <c r="N85" s="8">
        <f t="shared" si="2"/>
        <v>99</v>
      </c>
      <c r="O85" s="8" t="str">
        <f t="shared" si="3"/>
        <v>Normal</v>
      </c>
    </row>
    <row r="86" ht="15.75" customHeight="1">
      <c r="A86" s="3" t="s">
        <v>203</v>
      </c>
      <c r="B86" s="5">
        <v>284.0</v>
      </c>
      <c r="C86" s="5">
        <v>19.0</v>
      </c>
      <c r="D86" s="9">
        <v>46031.04375</v>
      </c>
      <c r="E86" s="10">
        <f t="shared" si="1"/>
        <v>46031</v>
      </c>
      <c r="F86" s="5">
        <v>99.0</v>
      </c>
      <c r="G86" s="3" t="s">
        <v>20</v>
      </c>
      <c r="H86" s="3" t="s">
        <v>48</v>
      </c>
      <c r="I86" s="5">
        <v>89.0</v>
      </c>
      <c r="J86" s="8" t="str">
        <f>IFERROR(IFNA(vlookup(C86,merchants!$A$1:$D$41,2,FALSE),"Merchant not found"), "Merchant not found")</f>
        <v>Merchant_019</v>
      </c>
      <c r="K86" s="8" t="str">
        <f>IFERROR(IFNA(vlookup(C86,merchants!$A$1:$D$41,3,FALSE),"Merchant not found"), "Merchant not found")</f>
        <v>grocery</v>
      </c>
      <c r="L86" s="8" t="str">
        <f>IFERROR(IFNA(vlookup(C86,merchants!$A$1:$D$41,4,FALSE),"Merchant not found"), "Merchant not found")</f>
        <v>North</v>
      </c>
      <c r="M86" s="8">
        <f>IFERROR(IFNA(hlookup(G86,payment_methods!$A$1:$E$2,2,FALSE),"Payment method not found"), "Payment method not found")</f>
        <v>0</v>
      </c>
      <c r="N86" s="8">
        <f t="shared" si="2"/>
        <v>99</v>
      </c>
      <c r="O86" s="8" t="str">
        <f t="shared" si="3"/>
        <v>Normal</v>
      </c>
    </row>
    <row r="87" ht="15.75" customHeight="1">
      <c r="A87" s="3" t="s">
        <v>204</v>
      </c>
      <c r="B87" s="5">
        <v>252.0</v>
      </c>
      <c r="C87" s="5">
        <v>7.0</v>
      </c>
      <c r="D87" s="9">
        <v>46027.87152777778</v>
      </c>
      <c r="E87" s="10">
        <f t="shared" si="1"/>
        <v>46027</v>
      </c>
      <c r="F87" s="5">
        <v>2999.0</v>
      </c>
      <c r="G87" s="3" t="s">
        <v>15</v>
      </c>
      <c r="H87" s="3" t="s">
        <v>48</v>
      </c>
      <c r="I87" s="5">
        <v>1.0</v>
      </c>
      <c r="J87" s="8" t="str">
        <f>IFERROR(IFNA(vlookup(C87,merchants!$A$1:$D$41,2,FALSE),"Merchant not found"), "Merchant not found")</f>
        <v>Merchant_007</v>
      </c>
      <c r="K87" s="8" t="str">
        <f>IFERROR(IFNA(vlookup(C87,merchants!$A$1:$D$41,3,FALSE),"Merchant not found"), "Merchant not found")</f>
        <v>food_delivery</v>
      </c>
      <c r="L87" s="8" t="str">
        <f>IFERROR(IFNA(vlookup(C87,merchants!$A$1:$D$41,4,FALSE),"Merchant not found"), "Merchant not found")</f>
        <v>East</v>
      </c>
      <c r="M87" s="8">
        <f>IFERROR(IFNA(hlookup(G87,payment_methods!$A$1:$E$2,2,FALSE),"Payment method not found"), "Payment method not found")</f>
        <v>0.0025</v>
      </c>
      <c r="N87" s="8">
        <f t="shared" si="2"/>
        <v>4498</v>
      </c>
      <c r="O87" s="8" t="str">
        <f t="shared" si="3"/>
        <v>Normal</v>
      </c>
    </row>
    <row r="88" ht="15.75" customHeight="1">
      <c r="A88" s="3" t="s">
        <v>205</v>
      </c>
      <c r="B88" s="5">
        <v>246.0</v>
      </c>
      <c r="C88" s="5">
        <v>29.0</v>
      </c>
      <c r="D88" s="9">
        <v>46041.395833333336</v>
      </c>
      <c r="E88" s="10">
        <f t="shared" si="1"/>
        <v>46041</v>
      </c>
      <c r="F88" s="5">
        <v>49.0</v>
      </c>
      <c r="G88" s="3" t="s">
        <v>15</v>
      </c>
      <c r="H88" s="3" t="s">
        <v>48</v>
      </c>
      <c r="I88" s="5">
        <v>43.0</v>
      </c>
      <c r="J88" s="8" t="str">
        <f>IFERROR(IFNA(vlookup(C88,merchants!$A$1:$D$41,2,FALSE),"Merchant not found"), "Merchant not found")</f>
        <v>Merchant_029</v>
      </c>
      <c r="K88" s="8" t="str">
        <f>IFERROR(IFNA(vlookup(C88,merchants!$A$1:$D$41,3,FALSE),"Merchant not found"), "Merchant not found")</f>
        <v>ecommerce</v>
      </c>
      <c r="L88" s="8" t="str">
        <f>IFERROR(IFNA(vlookup(C88,merchants!$A$1:$D$41,4,FALSE),"Merchant not found"), "Merchant not found")</f>
        <v>North</v>
      </c>
      <c r="M88" s="8">
        <f>IFERROR(IFNA(hlookup(G88,payment_methods!$A$1:$E$2,2,FALSE),"Payment method not found"), "Payment method not found")</f>
        <v>0.0025</v>
      </c>
      <c r="N88" s="8">
        <f t="shared" si="2"/>
        <v>49</v>
      </c>
      <c r="O88" s="8" t="str">
        <f t="shared" si="3"/>
        <v>Normal</v>
      </c>
    </row>
    <row r="89" ht="15.75" customHeight="1">
      <c r="A89" s="3" t="s">
        <v>206</v>
      </c>
      <c r="B89" s="5">
        <v>245.0</v>
      </c>
      <c r="C89" s="5">
        <v>8.0</v>
      </c>
      <c r="D89" s="9">
        <v>46028.052777777775</v>
      </c>
      <c r="E89" s="10">
        <f t="shared" si="1"/>
        <v>46028</v>
      </c>
      <c r="F89" s="5">
        <v>49.0</v>
      </c>
      <c r="G89" s="3" t="s">
        <v>20</v>
      </c>
      <c r="H89" s="3" t="s">
        <v>81</v>
      </c>
      <c r="I89" s="5">
        <v>8.0</v>
      </c>
      <c r="J89" s="8" t="str">
        <f>IFERROR(IFNA(vlookup(C89,merchants!$A$1:$D$41,2,FALSE),"Merchant not found"), "Merchant not found")</f>
        <v>Merchant_008</v>
      </c>
      <c r="K89" s="8" t="str">
        <f>IFERROR(IFNA(vlookup(C89,merchants!$A$1:$D$41,3,FALSE),"Merchant not found"), "Merchant not found")</f>
        <v>food_delivery</v>
      </c>
      <c r="L89" s="8" t="str">
        <f>IFERROR(IFNA(vlookup(C89,merchants!$A$1:$D$41,4,FALSE),"Merchant not found"), "Merchant not found")</f>
        <v>North</v>
      </c>
      <c r="M89" s="8">
        <f>IFERROR(IFNA(hlookup(G89,payment_methods!$A$1:$E$2,2,FALSE),"Payment method not found"), "Payment method not found")</f>
        <v>0</v>
      </c>
      <c r="N89" s="8">
        <f t="shared" si="2"/>
        <v>49</v>
      </c>
      <c r="O89" s="8" t="str">
        <f t="shared" si="3"/>
        <v>Normal</v>
      </c>
    </row>
    <row r="90" ht="15.75" customHeight="1">
      <c r="A90" s="3" t="s">
        <v>207</v>
      </c>
      <c r="B90" s="5">
        <v>296.0</v>
      </c>
      <c r="C90" s="5">
        <v>4.0</v>
      </c>
      <c r="D90" s="9">
        <v>46035.62777777778</v>
      </c>
      <c r="E90" s="10">
        <f t="shared" si="1"/>
        <v>46035</v>
      </c>
      <c r="F90" s="5">
        <v>799.0</v>
      </c>
      <c r="G90" s="3" t="s">
        <v>15</v>
      </c>
      <c r="H90" s="3" t="s">
        <v>48</v>
      </c>
      <c r="I90" s="5">
        <v>19.0</v>
      </c>
      <c r="J90" s="8" t="str">
        <f>IFERROR(IFNA(vlookup(C90,merchants!$A$1:$D$41,2,FALSE),"Merchant not found"), "Merchant not found")</f>
        <v>Merchant_004</v>
      </c>
      <c r="K90" s="8" t="str">
        <f>IFERROR(IFNA(vlookup(C90,merchants!$A$1:$D$41,3,FALSE),"Merchant not found"), "Merchant not found")</f>
        <v>ecommerce</v>
      </c>
      <c r="L90" s="8" t="str">
        <f>IFERROR(IFNA(vlookup(C90,merchants!$A$1:$D$41,4,FALSE),"Merchant not found"), "Merchant not found")</f>
        <v>East</v>
      </c>
      <c r="M90" s="8">
        <f>IFERROR(IFNA(hlookup(G90,payment_methods!$A$1:$E$2,2,FALSE),"Payment method not found"), "Payment method not found")</f>
        <v>0.0025</v>
      </c>
      <c r="N90" s="8">
        <f t="shared" si="2"/>
        <v>948</v>
      </c>
      <c r="O90" s="8" t="str">
        <f t="shared" si="3"/>
        <v>Normal</v>
      </c>
    </row>
    <row r="91" ht="15.75" customHeight="1">
      <c r="A91" s="3" t="s">
        <v>208</v>
      </c>
      <c r="B91" s="5">
        <v>44.0</v>
      </c>
      <c r="C91" s="5">
        <v>16.0</v>
      </c>
      <c r="D91" s="9">
        <v>46027.763194444444</v>
      </c>
      <c r="E91" s="10">
        <f t="shared" si="1"/>
        <v>46027</v>
      </c>
      <c r="F91" s="5">
        <v>149.0</v>
      </c>
      <c r="G91" s="3" t="s">
        <v>20</v>
      </c>
      <c r="H91" s="3" t="s">
        <v>48</v>
      </c>
      <c r="I91" s="5">
        <v>15.0</v>
      </c>
      <c r="J91" s="8" t="str">
        <f>IFERROR(IFNA(vlookup(C91,merchants!$A$1:$D$41,2,FALSE),"Merchant not found"), "Merchant not found")</f>
        <v>Merchant_016</v>
      </c>
      <c r="K91" s="8" t="str">
        <f>IFERROR(IFNA(vlookup(C91,merchants!$A$1:$D$41,3,FALSE),"Merchant not found"), "Merchant not found")</f>
        <v>bill_payment</v>
      </c>
      <c r="L91" s="8" t="str">
        <f>IFERROR(IFNA(vlookup(C91,merchants!$A$1:$D$41,4,FALSE),"Merchant not found"), "Merchant not found")</f>
        <v>West</v>
      </c>
      <c r="M91" s="8">
        <f>IFERROR(IFNA(hlookup(G91,payment_methods!$A$1:$E$2,2,FALSE),"Payment method not found"), "Payment method not found")</f>
        <v>0</v>
      </c>
      <c r="N91" s="8">
        <f t="shared" si="2"/>
        <v>149</v>
      </c>
      <c r="O91" s="8" t="str">
        <f t="shared" si="3"/>
        <v>Normal</v>
      </c>
    </row>
    <row r="92" ht="15.75" customHeight="1">
      <c r="A92" s="3" t="s">
        <v>209</v>
      </c>
      <c r="B92" s="5">
        <v>306.0</v>
      </c>
      <c r="C92" s="5">
        <v>40.0</v>
      </c>
      <c r="D92" s="9">
        <v>46040.56805555556</v>
      </c>
      <c r="E92" s="10">
        <f t="shared" si="1"/>
        <v>46040</v>
      </c>
      <c r="F92" s="5">
        <v>799.0</v>
      </c>
      <c r="G92" s="3" t="s">
        <v>22</v>
      </c>
      <c r="H92" s="3" t="s">
        <v>48</v>
      </c>
      <c r="I92" s="5">
        <v>28.0</v>
      </c>
      <c r="J92" s="8" t="str">
        <f>IFERROR(IFNA(vlookup(C92,merchants!$A$1:$D$41,2,FALSE),"Merchant not found"), "Merchant not found")</f>
        <v>Merchant_040</v>
      </c>
      <c r="K92" s="8" t="str">
        <f>IFERROR(IFNA(vlookup(C92,merchants!$A$1:$D$41,3,FALSE),"Merchant not found"), "Merchant not found")</f>
        <v>entertainment</v>
      </c>
      <c r="L92" s="8" t="str">
        <f>IFERROR(IFNA(vlookup(C92,merchants!$A$1:$D$41,4,FALSE),"Merchant not found"), "Merchant not found")</f>
        <v>South</v>
      </c>
      <c r="M92" s="8">
        <f>IFERROR(IFNA(hlookup(G92,payment_methods!$A$1:$E$2,2,FALSE),"Payment method not found"), "Payment method not found")</f>
        <v>0.01</v>
      </c>
      <c r="N92" s="8">
        <f t="shared" si="2"/>
        <v>799</v>
      </c>
      <c r="O92" s="8" t="str">
        <f t="shared" si="3"/>
        <v>Normal</v>
      </c>
    </row>
    <row r="93" ht="15.75" customHeight="1">
      <c r="A93" s="3" t="s">
        <v>210</v>
      </c>
      <c r="B93" s="5">
        <v>231.0</v>
      </c>
      <c r="C93" s="5">
        <v>29.0</v>
      </c>
      <c r="D93" s="9">
        <v>46047.683333333334</v>
      </c>
      <c r="E93" s="10">
        <f t="shared" si="1"/>
        <v>46047</v>
      </c>
      <c r="F93" s="5">
        <v>299.0</v>
      </c>
      <c r="G93" s="3" t="s">
        <v>20</v>
      </c>
      <c r="H93" s="3" t="s">
        <v>48</v>
      </c>
      <c r="I93" s="5">
        <v>38.0</v>
      </c>
      <c r="J93" s="8" t="str">
        <f>IFERROR(IFNA(vlookup(C93,merchants!$A$1:$D$41,2,FALSE),"Merchant not found"), "Merchant not found")</f>
        <v>Merchant_029</v>
      </c>
      <c r="K93" s="8" t="str">
        <f>IFERROR(IFNA(vlookup(C93,merchants!$A$1:$D$41,3,FALSE),"Merchant not found"), "Merchant not found")</f>
        <v>ecommerce</v>
      </c>
      <c r="L93" s="8" t="str">
        <f>IFERROR(IFNA(vlookup(C93,merchants!$A$1:$D$41,4,FALSE),"Merchant not found"), "Merchant not found")</f>
        <v>North</v>
      </c>
      <c r="M93" s="8">
        <f>IFERROR(IFNA(hlookup(G93,payment_methods!$A$1:$E$2,2,FALSE),"Payment method not found"), "Payment method not found")</f>
        <v>0</v>
      </c>
      <c r="N93" s="8">
        <f t="shared" si="2"/>
        <v>3896</v>
      </c>
      <c r="O93" s="8" t="str">
        <f t="shared" si="3"/>
        <v>Normal</v>
      </c>
    </row>
    <row r="94" ht="15.75" customHeight="1">
      <c r="A94" s="3" t="s">
        <v>211</v>
      </c>
      <c r="B94" s="5">
        <v>157.0</v>
      </c>
      <c r="C94" s="5">
        <v>37.0</v>
      </c>
      <c r="D94" s="9">
        <v>46050.76875</v>
      </c>
      <c r="E94" s="10">
        <f t="shared" si="1"/>
        <v>46050</v>
      </c>
      <c r="F94" s="5">
        <v>499.0</v>
      </c>
      <c r="G94" s="3" t="s">
        <v>15</v>
      </c>
      <c r="H94" s="3" t="s">
        <v>48</v>
      </c>
      <c r="I94" s="5">
        <v>79.0</v>
      </c>
      <c r="J94" s="8" t="str">
        <f>IFERROR(IFNA(vlookup(C94,merchants!$A$1:$D$41,2,FALSE),"Merchant not found"), "Merchant not found")</f>
        <v>Merchant_037</v>
      </c>
      <c r="K94" s="8" t="str">
        <f>IFERROR(IFNA(vlookup(C94,merchants!$A$1:$D$41,3,FALSE),"Merchant not found"), "Merchant not found")</f>
        <v>entertainment</v>
      </c>
      <c r="L94" s="8" t="str">
        <f>IFERROR(IFNA(vlookup(C94,merchants!$A$1:$D$41,4,FALSE),"Merchant not found"), "Merchant not found")</f>
        <v>South</v>
      </c>
      <c r="M94" s="8">
        <f>IFERROR(IFNA(hlookup(G94,payment_methods!$A$1:$E$2,2,FALSE),"Payment method not found"), "Payment method not found")</f>
        <v>0.0025</v>
      </c>
      <c r="N94" s="8">
        <f t="shared" si="2"/>
        <v>697</v>
      </c>
      <c r="O94" s="8" t="str">
        <f t="shared" si="3"/>
        <v>Normal</v>
      </c>
    </row>
    <row r="95" ht="15.75" customHeight="1">
      <c r="A95" s="3" t="s">
        <v>212</v>
      </c>
      <c r="B95" s="5">
        <v>51.0</v>
      </c>
      <c r="C95" s="5">
        <v>14.0</v>
      </c>
      <c r="D95" s="9">
        <v>46024.82430555556</v>
      </c>
      <c r="E95" s="10">
        <f t="shared" si="1"/>
        <v>46024</v>
      </c>
      <c r="F95" s="5">
        <v>1499.0</v>
      </c>
      <c r="G95" s="3" t="s">
        <v>20</v>
      </c>
      <c r="H95" s="3" t="s">
        <v>48</v>
      </c>
      <c r="I95" s="5">
        <v>80.0</v>
      </c>
      <c r="J95" s="8" t="str">
        <f>IFERROR(IFNA(vlookup(C95,merchants!$A$1:$D$41,2,FALSE),"Merchant not found"), "Merchant not found")</f>
        <v>Merchant_014</v>
      </c>
      <c r="K95" s="8" t="str">
        <f>IFERROR(IFNA(vlookup(C95,merchants!$A$1:$D$41,3,FALSE),"Merchant not found"), "Merchant not found")</f>
        <v>grocery</v>
      </c>
      <c r="L95" s="8" t="str">
        <f>IFERROR(IFNA(vlookup(C95,merchants!$A$1:$D$41,4,FALSE),"Merchant not found"), "Merchant not found")</f>
        <v>East</v>
      </c>
      <c r="M95" s="8">
        <f>IFERROR(IFNA(hlookup(G95,payment_methods!$A$1:$E$2,2,FALSE),"Payment method not found"), "Payment method not found")</f>
        <v>0</v>
      </c>
      <c r="N95" s="8">
        <f t="shared" si="2"/>
        <v>1499</v>
      </c>
      <c r="O95" s="8" t="str">
        <f t="shared" si="3"/>
        <v>Normal</v>
      </c>
    </row>
    <row r="96" ht="15.75" customHeight="1">
      <c r="A96" s="3" t="s">
        <v>213</v>
      </c>
      <c r="B96" s="5">
        <v>42.0</v>
      </c>
      <c r="C96" s="5">
        <v>11.0</v>
      </c>
      <c r="D96" s="9">
        <v>46029.3625</v>
      </c>
      <c r="E96" s="10">
        <f t="shared" si="1"/>
        <v>46029</v>
      </c>
      <c r="F96" s="5">
        <v>49.0</v>
      </c>
      <c r="G96" s="3" t="s">
        <v>15</v>
      </c>
      <c r="H96" s="3" t="s">
        <v>48</v>
      </c>
      <c r="I96" s="5">
        <v>30.0</v>
      </c>
      <c r="J96" s="8" t="str">
        <f>IFERROR(IFNA(vlookup(C96,merchants!$A$1:$D$41,2,FALSE),"Merchant not found"), "Merchant not found")</f>
        <v>Merchant_011</v>
      </c>
      <c r="K96" s="8" t="str">
        <f>IFERROR(IFNA(vlookup(C96,merchants!$A$1:$D$41,3,FALSE),"Merchant not found"), "Merchant not found")</f>
        <v>ecommerce</v>
      </c>
      <c r="L96" s="8" t="str">
        <f>IFERROR(IFNA(vlookup(C96,merchants!$A$1:$D$41,4,FALSE),"Merchant not found"), "Merchant not found")</f>
        <v>North</v>
      </c>
      <c r="M96" s="8">
        <f>IFERROR(IFNA(hlookup(G96,payment_methods!$A$1:$E$2,2,FALSE),"Payment method not found"), "Payment method not found")</f>
        <v>0.0025</v>
      </c>
      <c r="N96" s="8">
        <f t="shared" si="2"/>
        <v>49</v>
      </c>
      <c r="O96" s="8" t="str">
        <f t="shared" si="3"/>
        <v>Normal</v>
      </c>
    </row>
    <row r="97" ht="15.75" customHeight="1">
      <c r="A97" s="3" t="s">
        <v>214</v>
      </c>
      <c r="B97" s="5">
        <v>81.0</v>
      </c>
      <c r="C97" s="5">
        <v>1.0</v>
      </c>
      <c r="D97" s="9">
        <v>46028.71111111111</v>
      </c>
      <c r="E97" s="10">
        <f t="shared" si="1"/>
        <v>46028</v>
      </c>
      <c r="F97" s="5">
        <v>149.0</v>
      </c>
      <c r="G97" s="3" t="s">
        <v>20</v>
      </c>
      <c r="H97" s="3" t="s">
        <v>48</v>
      </c>
      <c r="I97" s="5">
        <v>52.0</v>
      </c>
      <c r="J97" s="8" t="str">
        <f>IFERROR(IFNA(vlookup(C97,merchants!$A$1:$D$41,2,FALSE),"Merchant not found"), "Merchant not found")</f>
        <v>Merchant_001</v>
      </c>
      <c r="K97" s="8" t="str">
        <f>IFERROR(IFNA(vlookup(C97,merchants!$A$1:$D$41,3,FALSE),"Merchant not found"), "Merchant not found")</f>
        <v>ecommerce</v>
      </c>
      <c r="L97" s="8" t="str">
        <f>IFERROR(IFNA(vlookup(C97,merchants!$A$1:$D$41,4,FALSE),"Merchant not found"), "Merchant not found")</f>
        <v>South</v>
      </c>
      <c r="M97" s="8">
        <f>IFERROR(IFNA(hlookup(G97,payment_methods!$A$1:$E$2,2,FALSE),"Payment method not found"), "Payment method not found")</f>
        <v>0</v>
      </c>
      <c r="N97" s="8">
        <f t="shared" si="2"/>
        <v>149</v>
      </c>
      <c r="O97" s="8" t="str">
        <f t="shared" si="3"/>
        <v>Normal</v>
      </c>
    </row>
    <row r="98" ht="15.75" customHeight="1">
      <c r="A98" s="3" t="s">
        <v>215</v>
      </c>
      <c r="B98" s="5">
        <v>241.0</v>
      </c>
      <c r="C98" s="5">
        <v>19.0</v>
      </c>
      <c r="D98" s="9">
        <v>46037.94305555556</v>
      </c>
      <c r="E98" s="10">
        <f t="shared" si="1"/>
        <v>46037</v>
      </c>
      <c r="F98" s="5">
        <v>299.0</v>
      </c>
      <c r="G98" s="3" t="s">
        <v>20</v>
      </c>
      <c r="H98" s="3" t="s">
        <v>48</v>
      </c>
      <c r="I98" s="5">
        <v>4.0</v>
      </c>
      <c r="J98" s="8" t="str">
        <f>IFERROR(IFNA(vlookup(C98,merchants!$A$1:$D$41,2,FALSE),"Merchant not found"), "Merchant not found")</f>
        <v>Merchant_019</v>
      </c>
      <c r="K98" s="8" t="str">
        <f>IFERROR(IFNA(vlookup(C98,merchants!$A$1:$D$41,3,FALSE),"Merchant not found"), "Merchant not found")</f>
        <v>grocery</v>
      </c>
      <c r="L98" s="8" t="str">
        <f>IFERROR(IFNA(vlookup(C98,merchants!$A$1:$D$41,4,FALSE),"Merchant not found"), "Merchant not found")</f>
        <v>North</v>
      </c>
      <c r="M98" s="8">
        <f>IFERROR(IFNA(hlookup(G98,payment_methods!$A$1:$E$2,2,FALSE),"Payment method not found"), "Payment method not found")</f>
        <v>0</v>
      </c>
      <c r="N98" s="8">
        <f t="shared" si="2"/>
        <v>398</v>
      </c>
      <c r="O98" s="8" t="str">
        <f t="shared" si="3"/>
        <v>Normal</v>
      </c>
    </row>
    <row r="99" ht="15.75" customHeight="1">
      <c r="A99" s="3" t="s">
        <v>216</v>
      </c>
      <c r="B99" s="5">
        <v>145.0</v>
      </c>
      <c r="C99" s="5">
        <v>30.0</v>
      </c>
      <c r="D99" s="9">
        <v>46030.40625</v>
      </c>
      <c r="E99" s="10">
        <f t="shared" si="1"/>
        <v>46030</v>
      </c>
      <c r="F99" s="5">
        <v>799.0</v>
      </c>
      <c r="G99" s="3" t="s">
        <v>20</v>
      </c>
      <c r="H99" s="3" t="s">
        <v>48</v>
      </c>
      <c r="I99" s="5">
        <v>9.0</v>
      </c>
      <c r="J99" s="8" t="str">
        <f>IFERROR(IFNA(vlookup(C99,merchants!$A$1:$D$41,2,FALSE),"Merchant not found"), "Merchant not found")</f>
        <v>Merchant_030</v>
      </c>
      <c r="K99" s="8" t="str">
        <f>IFERROR(IFNA(vlookup(C99,merchants!$A$1:$D$41,3,FALSE),"Merchant not found"), "Merchant not found")</f>
        <v>travel</v>
      </c>
      <c r="L99" s="8" t="str">
        <f>IFERROR(IFNA(vlookup(C99,merchants!$A$1:$D$41,4,FALSE),"Merchant not found"), "Merchant not found")</f>
        <v>West</v>
      </c>
      <c r="M99" s="8">
        <f>IFERROR(IFNA(hlookup(G99,payment_methods!$A$1:$E$2,2,FALSE),"Payment method not found"), "Payment method not found")</f>
        <v>0</v>
      </c>
      <c r="N99" s="8">
        <f t="shared" si="2"/>
        <v>1197</v>
      </c>
      <c r="O99" s="8" t="str">
        <f t="shared" si="3"/>
        <v>Normal</v>
      </c>
    </row>
    <row r="100" ht="15.75" customHeight="1">
      <c r="A100" s="3" t="s">
        <v>217</v>
      </c>
      <c r="B100" s="5">
        <v>136.0</v>
      </c>
      <c r="C100" s="5">
        <v>38.0</v>
      </c>
      <c r="D100" s="9">
        <v>46044.33263888889</v>
      </c>
      <c r="E100" s="10">
        <f t="shared" si="1"/>
        <v>46044</v>
      </c>
      <c r="F100" s="5">
        <v>299.0</v>
      </c>
      <c r="G100" s="3" t="s">
        <v>22</v>
      </c>
      <c r="H100" s="3" t="s">
        <v>48</v>
      </c>
      <c r="I100" s="5">
        <v>84.0</v>
      </c>
      <c r="J100" s="8" t="str">
        <f>IFERROR(IFNA(vlookup(C100,merchants!$A$1:$D$41,2,FALSE),"Merchant not found"), "Merchant not found")</f>
        <v>Merchant_038</v>
      </c>
      <c r="K100" s="8" t="str">
        <f>IFERROR(IFNA(vlookup(C100,merchants!$A$1:$D$41,3,FALSE),"Merchant not found"), "Merchant not found")</f>
        <v>grocery</v>
      </c>
      <c r="L100" s="8" t="str">
        <f>IFERROR(IFNA(vlookup(C100,merchants!$A$1:$D$41,4,FALSE),"Merchant not found"), "Merchant not found")</f>
        <v>East</v>
      </c>
      <c r="M100" s="8">
        <f>IFERROR(IFNA(hlookup(G100,payment_methods!$A$1:$E$2,2,FALSE),"Payment method not found"), "Payment method not found")</f>
        <v>0.01</v>
      </c>
      <c r="N100" s="8">
        <f t="shared" si="2"/>
        <v>299</v>
      </c>
      <c r="O100" s="8" t="str">
        <f t="shared" si="3"/>
        <v>Normal</v>
      </c>
    </row>
    <row r="101" ht="15.75" customHeight="1">
      <c r="A101" s="3" t="s">
        <v>218</v>
      </c>
      <c r="B101" s="5">
        <v>59.0</v>
      </c>
      <c r="C101" s="5">
        <v>35.0</v>
      </c>
      <c r="D101" s="9">
        <v>46048.26875</v>
      </c>
      <c r="E101" s="10">
        <f t="shared" si="1"/>
        <v>46048</v>
      </c>
      <c r="F101" s="5">
        <v>499.0</v>
      </c>
      <c r="G101" s="3" t="s">
        <v>20</v>
      </c>
      <c r="H101" s="3" t="s">
        <v>48</v>
      </c>
      <c r="I101" s="5">
        <v>28.0</v>
      </c>
      <c r="J101" s="8" t="str">
        <f>IFERROR(IFNA(vlookup(C101,merchants!$A$1:$D$41,2,FALSE),"Merchant not found"), "Merchant not found")</f>
        <v>Merchant_035</v>
      </c>
      <c r="K101" s="8" t="str">
        <f>IFERROR(IFNA(vlookup(C101,merchants!$A$1:$D$41,3,FALSE),"Merchant not found"), "Merchant not found")</f>
        <v>recharge</v>
      </c>
      <c r="L101" s="8" t="str">
        <f>IFERROR(IFNA(vlookup(C101,merchants!$A$1:$D$41,4,FALSE),"Merchant not found"), "Merchant not found")</f>
        <v>East</v>
      </c>
      <c r="M101" s="8">
        <f>IFERROR(IFNA(hlookup(G101,payment_methods!$A$1:$E$2,2,FALSE),"Payment method not found"), "Payment method not found")</f>
        <v>0</v>
      </c>
      <c r="N101" s="8">
        <f t="shared" si="2"/>
        <v>499</v>
      </c>
      <c r="O101" s="8" t="str">
        <f t="shared" si="3"/>
        <v>Normal</v>
      </c>
    </row>
    <row r="102" ht="15.75" customHeight="1">
      <c r="A102" s="3" t="s">
        <v>219</v>
      </c>
      <c r="B102" s="5">
        <v>137.0</v>
      </c>
      <c r="C102" s="5">
        <v>10.0</v>
      </c>
      <c r="D102" s="9">
        <v>46043.20694444444</v>
      </c>
      <c r="E102" s="10">
        <f t="shared" si="1"/>
        <v>46043</v>
      </c>
      <c r="F102" s="5">
        <v>299.0</v>
      </c>
      <c r="G102" s="3" t="s">
        <v>20</v>
      </c>
      <c r="H102" s="3" t="s">
        <v>48</v>
      </c>
      <c r="I102" s="5">
        <v>9.0</v>
      </c>
      <c r="J102" s="8" t="str">
        <f>IFERROR(IFNA(vlookup(C102,merchants!$A$1:$D$41,2,FALSE),"Merchant not found"), "Merchant not found")</f>
        <v>Merchant_010</v>
      </c>
      <c r="K102" s="8" t="str">
        <f>IFERROR(IFNA(vlookup(C102,merchants!$A$1:$D$41,3,FALSE),"Merchant not found"), "Merchant not found")</f>
        <v>grocery</v>
      </c>
      <c r="L102" s="8" t="str">
        <f>IFERROR(IFNA(vlookup(C102,merchants!$A$1:$D$41,4,FALSE),"Merchant not found"), "Merchant not found")</f>
        <v>West</v>
      </c>
      <c r="M102" s="8">
        <f>IFERROR(IFNA(hlookup(G102,payment_methods!$A$1:$E$2,2,FALSE),"Payment method not found"), "Payment method not found")</f>
        <v>0</v>
      </c>
      <c r="N102" s="8">
        <f t="shared" si="2"/>
        <v>398</v>
      </c>
      <c r="O102" s="8" t="str">
        <f t="shared" si="3"/>
        <v>Normal</v>
      </c>
    </row>
    <row r="103" ht="15.75" customHeight="1">
      <c r="A103" s="3" t="s">
        <v>220</v>
      </c>
      <c r="B103" s="5">
        <v>158.0</v>
      </c>
      <c r="C103" s="5">
        <v>39.0</v>
      </c>
      <c r="D103" s="9">
        <v>46024.243055555555</v>
      </c>
      <c r="E103" s="10">
        <f t="shared" si="1"/>
        <v>46024</v>
      </c>
      <c r="F103" s="5">
        <v>499.0</v>
      </c>
      <c r="G103" s="3" t="s">
        <v>25</v>
      </c>
      <c r="H103" s="3" t="s">
        <v>48</v>
      </c>
      <c r="I103" s="5">
        <v>95.0</v>
      </c>
      <c r="J103" s="8" t="str">
        <f>IFERROR(IFNA(vlookup(C103,merchants!$A$1:$D$41,2,FALSE),"Merchant not found"), "Merchant not found")</f>
        <v>Merchant_039</v>
      </c>
      <c r="K103" s="8" t="str">
        <f>IFERROR(IFNA(vlookup(C103,merchants!$A$1:$D$41,3,FALSE),"Merchant not found"), "Merchant not found")</f>
        <v>entertainment</v>
      </c>
      <c r="L103" s="8" t="str">
        <f>IFERROR(IFNA(vlookup(C103,merchants!$A$1:$D$41,4,FALSE),"Merchant not found"), "Merchant not found")</f>
        <v>North</v>
      </c>
      <c r="M103" s="8">
        <f>IFERROR(IFNA(hlookup(G103,payment_methods!$A$1:$E$2,2,FALSE),"Payment method not found"), "Payment method not found")</f>
        <v>0.005</v>
      </c>
      <c r="N103" s="8">
        <f t="shared" si="2"/>
        <v>499</v>
      </c>
      <c r="O103" s="8" t="str">
        <f t="shared" si="3"/>
        <v>Normal</v>
      </c>
    </row>
    <row r="104" ht="15.75" customHeight="1">
      <c r="A104" s="3" t="s">
        <v>221</v>
      </c>
      <c r="B104" s="5">
        <v>148.0</v>
      </c>
      <c r="C104" s="5">
        <v>29.0</v>
      </c>
      <c r="D104" s="9">
        <v>46049.79027777778</v>
      </c>
      <c r="E104" s="10">
        <f t="shared" si="1"/>
        <v>46049</v>
      </c>
      <c r="F104" s="5">
        <v>99.0</v>
      </c>
      <c r="G104" s="3" t="s">
        <v>22</v>
      </c>
      <c r="H104" s="3" t="s">
        <v>48</v>
      </c>
      <c r="I104" s="5">
        <v>15.0</v>
      </c>
      <c r="J104" s="8" t="str">
        <f>IFERROR(IFNA(vlookup(C104,merchants!$A$1:$D$41,2,FALSE),"Merchant not found"), "Merchant not found")</f>
        <v>Merchant_029</v>
      </c>
      <c r="K104" s="8" t="str">
        <f>IFERROR(IFNA(vlookup(C104,merchants!$A$1:$D$41,3,FALSE),"Merchant not found"), "Merchant not found")</f>
        <v>ecommerce</v>
      </c>
      <c r="L104" s="8" t="str">
        <f>IFERROR(IFNA(vlookup(C104,merchants!$A$1:$D$41,4,FALSE),"Merchant not found"), "Merchant not found")</f>
        <v>North</v>
      </c>
      <c r="M104" s="8">
        <f>IFERROR(IFNA(hlookup(G104,payment_methods!$A$1:$E$2,2,FALSE),"Payment method not found"), "Payment method not found")</f>
        <v>0.01</v>
      </c>
      <c r="N104" s="8">
        <f t="shared" si="2"/>
        <v>898</v>
      </c>
      <c r="O104" s="8" t="str">
        <f t="shared" si="3"/>
        <v>Normal</v>
      </c>
    </row>
    <row r="105" ht="15.75" customHeight="1">
      <c r="A105" s="3" t="s">
        <v>222</v>
      </c>
      <c r="B105" s="5">
        <v>207.0</v>
      </c>
      <c r="C105" s="5">
        <v>18.0</v>
      </c>
      <c r="D105" s="9">
        <v>46037.92986111111</v>
      </c>
      <c r="E105" s="10">
        <f t="shared" si="1"/>
        <v>46037</v>
      </c>
      <c r="F105" s="5">
        <v>149.0</v>
      </c>
      <c r="G105" s="3" t="s">
        <v>20</v>
      </c>
      <c r="H105" s="3" t="s">
        <v>48</v>
      </c>
      <c r="I105" s="5">
        <v>64.0</v>
      </c>
      <c r="J105" s="8" t="str">
        <f>IFERROR(IFNA(vlookup(C105,merchants!$A$1:$D$41,2,FALSE),"Merchant not found"), "Merchant not found")</f>
        <v>Merchant_018</v>
      </c>
      <c r="K105" s="8" t="str">
        <f>IFERROR(IFNA(vlookup(C105,merchants!$A$1:$D$41,3,FALSE),"Merchant not found"), "Merchant not found")</f>
        <v>grocery</v>
      </c>
      <c r="L105" s="8" t="str">
        <f>IFERROR(IFNA(vlookup(C105,merchants!$A$1:$D$41,4,FALSE),"Merchant not found"), "Merchant not found")</f>
        <v>West</v>
      </c>
      <c r="M105" s="8">
        <f>IFERROR(IFNA(hlookup(G105,payment_methods!$A$1:$E$2,2,FALSE),"Payment method not found"), "Payment method not found")</f>
        <v>0</v>
      </c>
      <c r="N105" s="8">
        <f t="shared" si="2"/>
        <v>149</v>
      </c>
      <c r="O105" s="8" t="str">
        <f t="shared" si="3"/>
        <v>Normal</v>
      </c>
    </row>
    <row r="106" ht="15.75" customHeight="1">
      <c r="A106" s="3" t="s">
        <v>223</v>
      </c>
      <c r="B106" s="5">
        <v>42.0</v>
      </c>
      <c r="C106" s="5">
        <v>39.0</v>
      </c>
      <c r="D106" s="9">
        <v>46040.64444444444</v>
      </c>
      <c r="E106" s="10">
        <f t="shared" si="1"/>
        <v>46040</v>
      </c>
      <c r="F106" s="5">
        <v>2999.0</v>
      </c>
      <c r="G106" s="3" t="s">
        <v>22</v>
      </c>
      <c r="H106" s="3" t="s">
        <v>48</v>
      </c>
      <c r="I106" s="5">
        <v>5.0</v>
      </c>
      <c r="J106" s="8" t="str">
        <f>IFERROR(IFNA(vlookup(C106,merchants!$A$1:$D$41,2,FALSE),"Merchant not found"), "Merchant not found")</f>
        <v>Merchant_039</v>
      </c>
      <c r="K106" s="8" t="str">
        <f>IFERROR(IFNA(vlookup(C106,merchants!$A$1:$D$41,3,FALSE),"Merchant not found"), "Merchant not found")</f>
        <v>entertainment</v>
      </c>
      <c r="L106" s="8" t="str">
        <f>IFERROR(IFNA(vlookup(C106,merchants!$A$1:$D$41,4,FALSE),"Merchant not found"), "Merchant not found")</f>
        <v>North</v>
      </c>
      <c r="M106" s="8">
        <f>IFERROR(IFNA(hlookup(G106,payment_methods!$A$1:$E$2,2,FALSE),"Payment method not found"), "Payment method not found")</f>
        <v>0.01</v>
      </c>
      <c r="N106" s="8">
        <f t="shared" si="2"/>
        <v>2999</v>
      </c>
      <c r="O106" s="8" t="str">
        <f t="shared" si="3"/>
        <v>Normal</v>
      </c>
    </row>
    <row r="107" ht="15.75" customHeight="1">
      <c r="A107" s="3" t="s">
        <v>224</v>
      </c>
      <c r="B107" s="5">
        <v>166.0</v>
      </c>
      <c r="C107" s="5">
        <v>39.0</v>
      </c>
      <c r="D107" s="9">
        <v>46051.57430555556</v>
      </c>
      <c r="E107" s="10">
        <f t="shared" si="1"/>
        <v>46051</v>
      </c>
      <c r="F107" s="5">
        <v>149.0</v>
      </c>
      <c r="G107" s="3" t="s">
        <v>20</v>
      </c>
      <c r="H107" s="3" t="s">
        <v>48</v>
      </c>
      <c r="I107" s="5">
        <v>32.0</v>
      </c>
      <c r="J107" s="8" t="str">
        <f>IFERROR(IFNA(vlookup(C107,merchants!$A$1:$D$41,2,FALSE),"Merchant not found"), "Merchant not found")</f>
        <v>Merchant_039</v>
      </c>
      <c r="K107" s="8" t="str">
        <f>IFERROR(IFNA(vlookup(C107,merchants!$A$1:$D$41,3,FALSE),"Merchant not found"), "Merchant not found")</f>
        <v>entertainment</v>
      </c>
      <c r="L107" s="8" t="str">
        <f>IFERROR(IFNA(vlookup(C107,merchants!$A$1:$D$41,4,FALSE),"Merchant not found"), "Merchant not found")</f>
        <v>North</v>
      </c>
      <c r="M107" s="8">
        <f>IFERROR(IFNA(hlookup(G107,payment_methods!$A$1:$E$2,2,FALSE),"Payment method not found"), "Payment method not found")</f>
        <v>0</v>
      </c>
      <c r="N107" s="8">
        <f t="shared" si="2"/>
        <v>149</v>
      </c>
      <c r="O107" s="8" t="str">
        <f t="shared" si="3"/>
        <v>Normal</v>
      </c>
    </row>
    <row r="108" ht="15.75" customHeight="1">
      <c r="A108" s="3" t="s">
        <v>225</v>
      </c>
      <c r="B108" s="5">
        <v>346.0</v>
      </c>
      <c r="C108" s="5">
        <v>37.0</v>
      </c>
      <c r="D108" s="9">
        <v>46023.09305555555</v>
      </c>
      <c r="E108" s="10">
        <f t="shared" si="1"/>
        <v>46023</v>
      </c>
      <c r="F108" s="5">
        <v>99.0</v>
      </c>
      <c r="G108" s="3" t="s">
        <v>20</v>
      </c>
      <c r="H108" s="3" t="s">
        <v>48</v>
      </c>
      <c r="I108" s="5">
        <v>75.0</v>
      </c>
      <c r="J108" s="8" t="str">
        <f>IFERROR(IFNA(vlookup(C108,merchants!$A$1:$D$41,2,FALSE),"Merchant not found"), "Merchant not found")</f>
        <v>Merchant_037</v>
      </c>
      <c r="K108" s="8" t="str">
        <f>IFERROR(IFNA(vlookup(C108,merchants!$A$1:$D$41,3,FALSE),"Merchant not found"), "Merchant not found")</f>
        <v>entertainment</v>
      </c>
      <c r="L108" s="8" t="str">
        <f>IFERROR(IFNA(vlookup(C108,merchants!$A$1:$D$41,4,FALSE),"Merchant not found"), "Merchant not found")</f>
        <v>South</v>
      </c>
      <c r="M108" s="8">
        <f>IFERROR(IFNA(hlookup(G108,payment_methods!$A$1:$E$2,2,FALSE),"Payment method not found"), "Payment method not found")</f>
        <v>0</v>
      </c>
      <c r="N108" s="8">
        <f t="shared" si="2"/>
        <v>598</v>
      </c>
      <c r="O108" s="8" t="str">
        <f t="shared" si="3"/>
        <v>Normal</v>
      </c>
    </row>
    <row r="109" ht="15.75" customHeight="1">
      <c r="A109" s="3" t="s">
        <v>226</v>
      </c>
      <c r="B109" s="5">
        <v>138.0</v>
      </c>
      <c r="C109" s="5">
        <v>37.0</v>
      </c>
      <c r="D109" s="9">
        <v>46023.91111111111</v>
      </c>
      <c r="E109" s="10">
        <f t="shared" si="1"/>
        <v>46023</v>
      </c>
      <c r="F109" s="5">
        <v>499.0</v>
      </c>
      <c r="G109" s="3" t="s">
        <v>20</v>
      </c>
      <c r="H109" s="3" t="s">
        <v>48</v>
      </c>
      <c r="I109" s="5">
        <v>5.0</v>
      </c>
      <c r="J109" s="8" t="str">
        <f>IFERROR(IFNA(vlookup(C109,merchants!$A$1:$D$41,2,FALSE),"Merchant not found"), "Merchant not found")</f>
        <v>Merchant_037</v>
      </c>
      <c r="K109" s="8" t="str">
        <f>IFERROR(IFNA(vlookup(C109,merchants!$A$1:$D$41,3,FALSE),"Merchant not found"), "Merchant not found")</f>
        <v>entertainment</v>
      </c>
      <c r="L109" s="8" t="str">
        <f>IFERROR(IFNA(vlookup(C109,merchants!$A$1:$D$41,4,FALSE),"Merchant not found"), "Merchant not found")</f>
        <v>South</v>
      </c>
      <c r="M109" s="8">
        <f>IFERROR(IFNA(hlookup(G109,payment_methods!$A$1:$E$2,2,FALSE),"Payment method not found"), "Payment method not found")</f>
        <v>0</v>
      </c>
      <c r="N109" s="8">
        <f t="shared" si="2"/>
        <v>598</v>
      </c>
      <c r="O109" s="8" t="str">
        <f t="shared" si="3"/>
        <v>Normal</v>
      </c>
    </row>
    <row r="110" ht="15.75" customHeight="1">
      <c r="A110" s="3" t="s">
        <v>227</v>
      </c>
      <c r="B110" s="5">
        <v>266.0</v>
      </c>
      <c r="C110" s="5">
        <v>29.0</v>
      </c>
      <c r="D110" s="9">
        <v>46047.229166666664</v>
      </c>
      <c r="E110" s="10">
        <f t="shared" si="1"/>
        <v>46047</v>
      </c>
      <c r="F110" s="5">
        <v>499.0</v>
      </c>
      <c r="G110" s="3" t="s">
        <v>15</v>
      </c>
      <c r="H110" s="3" t="s">
        <v>78</v>
      </c>
      <c r="I110" s="5">
        <v>35.0</v>
      </c>
      <c r="J110" s="8" t="str">
        <f>IFERROR(IFNA(vlookup(C110,merchants!$A$1:$D$41,2,FALSE),"Merchant not found"), "Merchant not found")</f>
        <v>Merchant_029</v>
      </c>
      <c r="K110" s="8" t="str">
        <f>IFERROR(IFNA(vlookup(C110,merchants!$A$1:$D$41,3,FALSE),"Merchant not found"), "Merchant not found")</f>
        <v>ecommerce</v>
      </c>
      <c r="L110" s="8" t="str">
        <f>IFERROR(IFNA(vlookup(C110,merchants!$A$1:$D$41,4,FALSE),"Merchant not found"), "Merchant not found")</f>
        <v>North</v>
      </c>
      <c r="M110" s="8">
        <f>IFERROR(IFNA(hlookup(G110,payment_methods!$A$1:$E$2,2,FALSE),"Payment method not found"), "Payment method not found")</f>
        <v>0.0025</v>
      </c>
      <c r="N110" s="8">
        <f t="shared" si="2"/>
        <v>3896</v>
      </c>
      <c r="O110" s="8" t="str">
        <f t="shared" si="3"/>
        <v>Normal</v>
      </c>
    </row>
    <row r="111" ht="15.75" customHeight="1">
      <c r="A111" s="3" t="s">
        <v>228</v>
      </c>
      <c r="B111" s="5">
        <v>326.0</v>
      </c>
      <c r="C111" s="5">
        <v>32.0</v>
      </c>
      <c r="D111" s="9">
        <v>46028.76875</v>
      </c>
      <c r="E111" s="10">
        <f t="shared" si="1"/>
        <v>46028</v>
      </c>
      <c r="F111" s="5">
        <v>149.0</v>
      </c>
      <c r="G111" s="3" t="s">
        <v>20</v>
      </c>
      <c r="H111" s="3" t="s">
        <v>48</v>
      </c>
      <c r="I111" s="5">
        <v>11.0</v>
      </c>
      <c r="J111" s="8" t="str">
        <f>IFERROR(IFNA(vlookup(C111,merchants!$A$1:$D$41,2,FALSE),"Merchant not found"), "Merchant not found")</f>
        <v>Merchant_032</v>
      </c>
      <c r="K111" s="8" t="str">
        <f>IFERROR(IFNA(vlookup(C111,merchants!$A$1:$D$41,3,FALSE),"Merchant not found"), "Merchant not found")</f>
        <v>food_delivery</v>
      </c>
      <c r="L111" s="8" t="str">
        <f>IFERROR(IFNA(vlookup(C111,merchants!$A$1:$D$41,4,FALSE),"Merchant not found"), "Merchant not found")</f>
        <v>West</v>
      </c>
      <c r="M111" s="8">
        <f>IFERROR(IFNA(hlookup(G111,payment_methods!$A$1:$E$2,2,FALSE),"Payment method not found"), "Payment method not found")</f>
        <v>0</v>
      </c>
      <c r="N111" s="8">
        <f t="shared" si="2"/>
        <v>149</v>
      </c>
      <c r="O111" s="8" t="str">
        <f t="shared" si="3"/>
        <v>Normal</v>
      </c>
    </row>
    <row r="112" ht="15.75" customHeight="1">
      <c r="A112" s="3" t="s">
        <v>229</v>
      </c>
      <c r="B112" s="5">
        <v>171.0</v>
      </c>
      <c r="C112" s="5">
        <v>21.0</v>
      </c>
      <c r="D112" s="9">
        <v>46038.47638888889</v>
      </c>
      <c r="E112" s="10">
        <f t="shared" si="1"/>
        <v>46038</v>
      </c>
      <c r="F112" s="5">
        <v>799.0</v>
      </c>
      <c r="G112" s="3" t="s">
        <v>20</v>
      </c>
      <c r="H112" s="3" t="s">
        <v>48</v>
      </c>
      <c r="I112" s="5">
        <v>85.0</v>
      </c>
      <c r="J112" s="8" t="str">
        <f>IFERROR(IFNA(vlookup(C112,merchants!$A$1:$D$41,2,FALSE),"Merchant not found"), "Merchant not found")</f>
        <v>Merchant_021</v>
      </c>
      <c r="K112" s="8" t="str">
        <f>IFERROR(IFNA(vlookup(C112,merchants!$A$1:$D$41,3,FALSE),"Merchant not found"), "Merchant not found")</f>
        <v>food_delivery</v>
      </c>
      <c r="L112" s="8" t="str">
        <f>IFERROR(IFNA(vlookup(C112,merchants!$A$1:$D$41,4,FALSE),"Merchant not found"), "Merchant not found")</f>
        <v>East</v>
      </c>
      <c r="M112" s="8">
        <f>IFERROR(IFNA(hlookup(G112,payment_methods!$A$1:$E$2,2,FALSE),"Payment method not found"), "Payment method not found")</f>
        <v>0</v>
      </c>
      <c r="N112" s="8">
        <f t="shared" si="2"/>
        <v>799</v>
      </c>
      <c r="O112" s="8" t="str">
        <f t="shared" si="3"/>
        <v>Normal</v>
      </c>
    </row>
    <row r="113" ht="15.75" customHeight="1">
      <c r="A113" s="3" t="s">
        <v>230</v>
      </c>
      <c r="B113" s="5">
        <v>211.0</v>
      </c>
      <c r="C113" s="5">
        <v>32.0</v>
      </c>
      <c r="D113" s="9">
        <v>46026.222916666666</v>
      </c>
      <c r="E113" s="10">
        <f t="shared" si="1"/>
        <v>46026</v>
      </c>
      <c r="F113" s="5">
        <v>49.0</v>
      </c>
      <c r="G113" s="3" t="s">
        <v>20</v>
      </c>
      <c r="H113" s="3" t="s">
        <v>48</v>
      </c>
      <c r="I113" s="5">
        <v>36.0</v>
      </c>
      <c r="J113" s="8" t="str">
        <f>IFERROR(IFNA(vlookup(C113,merchants!$A$1:$D$41,2,FALSE),"Merchant not found"), "Merchant not found")</f>
        <v>Merchant_032</v>
      </c>
      <c r="K113" s="8" t="str">
        <f>IFERROR(IFNA(vlookup(C113,merchants!$A$1:$D$41,3,FALSE),"Merchant not found"), "Merchant not found")</f>
        <v>food_delivery</v>
      </c>
      <c r="L113" s="8" t="str">
        <f>IFERROR(IFNA(vlookup(C113,merchants!$A$1:$D$41,4,FALSE),"Merchant not found"), "Merchant not found")</f>
        <v>West</v>
      </c>
      <c r="M113" s="8">
        <f>IFERROR(IFNA(hlookup(G113,payment_methods!$A$1:$E$2,2,FALSE),"Payment method not found"), "Payment method not found")</f>
        <v>0</v>
      </c>
      <c r="N113" s="8">
        <f t="shared" si="2"/>
        <v>49</v>
      </c>
      <c r="O113" s="8" t="str">
        <f t="shared" si="3"/>
        <v>Normal</v>
      </c>
    </row>
    <row r="114" ht="15.75" customHeight="1">
      <c r="A114" s="3" t="s">
        <v>231</v>
      </c>
      <c r="B114" s="5">
        <v>282.0</v>
      </c>
      <c r="C114" s="5">
        <v>3.0</v>
      </c>
      <c r="D114" s="9">
        <v>46044.53611111111</v>
      </c>
      <c r="E114" s="10">
        <f t="shared" si="1"/>
        <v>46044</v>
      </c>
      <c r="F114" s="5">
        <v>499.0</v>
      </c>
      <c r="G114" s="3" t="s">
        <v>20</v>
      </c>
      <c r="H114" s="3" t="s">
        <v>48</v>
      </c>
      <c r="I114" s="5">
        <v>58.0</v>
      </c>
      <c r="J114" s="8" t="str">
        <f>IFERROR(IFNA(vlookup(C114,merchants!$A$1:$D$41,2,FALSE),"Merchant not found"), "Merchant not found")</f>
        <v>Merchant_003</v>
      </c>
      <c r="K114" s="8" t="str">
        <f>IFERROR(IFNA(vlookup(C114,merchants!$A$1:$D$41,3,FALSE),"Merchant not found"), "Merchant not found")</f>
        <v>grocery</v>
      </c>
      <c r="L114" s="8" t="str">
        <f>IFERROR(IFNA(vlookup(C114,merchants!$A$1:$D$41,4,FALSE),"Merchant not found"), "Merchant not found")</f>
        <v>East</v>
      </c>
      <c r="M114" s="8">
        <f>IFERROR(IFNA(hlookup(G114,payment_methods!$A$1:$E$2,2,FALSE),"Payment method not found"), "Payment method not found")</f>
        <v>0</v>
      </c>
      <c r="N114" s="8">
        <f t="shared" si="2"/>
        <v>499</v>
      </c>
      <c r="O114" s="8" t="str">
        <f t="shared" si="3"/>
        <v>Normal</v>
      </c>
    </row>
    <row r="115" ht="15.75" customHeight="1">
      <c r="A115" s="3" t="s">
        <v>232</v>
      </c>
      <c r="B115" s="5">
        <v>166.0</v>
      </c>
      <c r="C115" s="5">
        <v>8.0</v>
      </c>
      <c r="D115" s="9">
        <v>46025.427777777775</v>
      </c>
      <c r="E115" s="10">
        <f t="shared" si="1"/>
        <v>46025</v>
      </c>
      <c r="F115" s="5">
        <v>299.0</v>
      </c>
      <c r="G115" s="3" t="s">
        <v>20</v>
      </c>
      <c r="H115" s="3" t="s">
        <v>48</v>
      </c>
      <c r="I115" s="5">
        <v>98.0</v>
      </c>
      <c r="J115" s="8" t="str">
        <f>IFERROR(IFNA(vlookup(C115,merchants!$A$1:$D$41,2,FALSE),"Merchant not found"), "Merchant not found")</f>
        <v>Merchant_008</v>
      </c>
      <c r="K115" s="8" t="str">
        <f>IFERROR(IFNA(vlookup(C115,merchants!$A$1:$D$41,3,FALSE),"Merchant not found"), "Merchant not found")</f>
        <v>food_delivery</v>
      </c>
      <c r="L115" s="8" t="str">
        <f>IFERROR(IFNA(vlookup(C115,merchants!$A$1:$D$41,4,FALSE),"Merchant not found"), "Merchant not found")</f>
        <v>North</v>
      </c>
      <c r="M115" s="8">
        <f>IFERROR(IFNA(hlookup(G115,payment_methods!$A$1:$E$2,2,FALSE),"Payment method not found"), "Payment method not found")</f>
        <v>0</v>
      </c>
      <c r="N115" s="8">
        <f t="shared" si="2"/>
        <v>299</v>
      </c>
      <c r="O115" s="8" t="str">
        <f t="shared" si="3"/>
        <v>Normal</v>
      </c>
    </row>
    <row r="116" ht="15.75" customHeight="1">
      <c r="A116" s="3" t="s">
        <v>233</v>
      </c>
      <c r="B116" s="5">
        <v>1.0</v>
      </c>
      <c r="C116" s="5">
        <v>35.0</v>
      </c>
      <c r="D116" s="9">
        <v>46035.70277777778</v>
      </c>
      <c r="E116" s="10">
        <f t="shared" si="1"/>
        <v>46035</v>
      </c>
      <c r="F116" s="5">
        <v>149.0</v>
      </c>
      <c r="G116" s="3" t="s">
        <v>20</v>
      </c>
      <c r="H116" s="3" t="s">
        <v>48</v>
      </c>
      <c r="I116" s="5">
        <v>59.0</v>
      </c>
      <c r="J116" s="8" t="str">
        <f>IFERROR(IFNA(vlookup(C116,merchants!$A$1:$D$41,2,FALSE),"Merchant not found"), "Merchant not found")</f>
        <v>Merchant_035</v>
      </c>
      <c r="K116" s="8" t="str">
        <f>IFERROR(IFNA(vlookup(C116,merchants!$A$1:$D$41,3,FALSE),"Merchant not found"), "Merchant not found")</f>
        <v>recharge</v>
      </c>
      <c r="L116" s="8" t="str">
        <f>IFERROR(IFNA(vlookup(C116,merchants!$A$1:$D$41,4,FALSE),"Merchant not found"), "Merchant not found")</f>
        <v>East</v>
      </c>
      <c r="M116" s="8">
        <f>IFERROR(IFNA(hlookup(G116,payment_methods!$A$1:$E$2,2,FALSE),"Payment method not found"), "Payment method not found")</f>
        <v>0</v>
      </c>
      <c r="N116" s="8">
        <f t="shared" si="2"/>
        <v>149</v>
      </c>
      <c r="O116" s="8" t="str">
        <f t="shared" si="3"/>
        <v>Normal</v>
      </c>
    </row>
    <row r="117" ht="15.75" customHeight="1">
      <c r="A117" s="3" t="s">
        <v>234</v>
      </c>
      <c r="B117" s="5">
        <v>266.0</v>
      </c>
      <c r="C117" s="5">
        <v>24.0</v>
      </c>
      <c r="D117" s="9">
        <v>46036.05</v>
      </c>
      <c r="E117" s="10">
        <f t="shared" si="1"/>
        <v>46036</v>
      </c>
      <c r="F117" s="5">
        <v>499.0</v>
      </c>
      <c r="G117" s="3" t="s">
        <v>20</v>
      </c>
      <c r="H117" s="3" t="s">
        <v>48</v>
      </c>
      <c r="I117" s="5">
        <v>79.0</v>
      </c>
      <c r="J117" s="8" t="str">
        <f>IFERROR(IFNA(vlookup(C117,merchants!$A$1:$D$41,2,FALSE),"Merchant not found"), "Merchant not found")</f>
        <v>Merchant_024</v>
      </c>
      <c r="K117" s="8" t="str">
        <f>IFERROR(IFNA(vlookup(C117,merchants!$A$1:$D$41,3,FALSE),"Merchant not found"), "Merchant not found")</f>
        <v>grocery</v>
      </c>
      <c r="L117" s="8" t="str">
        <f>IFERROR(IFNA(vlookup(C117,merchants!$A$1:$D$41,4,FALSE),"Merchant not found"), "Merchant not found")</f>
        <v>North</v>
      </c>
      <c r="M117" s="8">
        <f>IFERROR(IFNA(hlookup(G117,payment_methods!$A$1:$E$2,2,FALSE),"Payment method not found"), "Payment method not found")</f>
        <v>0</v>
      </c>
      <c r="N117" s="8">
        <f t="shared" si="2"/>
        <v>499</v>
      </c>
      <c r="O117" s="8" t="str">
        <f t="shared" si="3"/>
        <v>Normal</v>
      </c>
    </row>
    <row r="118" ht="15.75" customHeight="1">
      <c r="A118" s="3" t="s">
        <v>235</v>
      </c>
      <c r="B118" s="5">
        <v>227.0</v>
      </c>
      <c r="C118" s="5">
        <v>4.0</v>
      </c>
      <c r="D118" s="9">
        <v>46047.65277777778</v>
      </c>
      <c r="E118" s="10">
        <f t="shared" si="1"/>
        <v>46047</v>
      </c>
      <c r="F118" s="5">
        <v>499.0</v>
      </c>
      <c r="G118" s="3" t="s">
        <v>20</v>
      </c>
      <c r="H118" s="3" t="s">
        <v>48</v>
      </c>
      <c r="I118" s="5">
        <v>26.0</v>
      </c>
      <c r="J118" s="8" t="str">
        <f>IFERROR(IFNA(vlookup(C118,merchants!$A$1:$D$41,2,FALSE),"Merchant not found"), "Merchant not found")</f>
        <v>Merchant_004</v>
      </c>
      <c r="K118" s="8" t="str">
        <f>IFERROR(IFNA(vlookup(C118,merchants!$A$1:$D$41,3,FALSE),"Merchant not found"), "Merchant not found")</f>
        <v>ecommerce</v>
      </c>
      <c r="L118" s="8" t="str">
        <f>IFERROR(IFNA(vlookup(C118,merchants!$A$1:$D$41,4,FALSE),"Merchant not found"), "Merchant not found")</f>
        <v>East</v>
      </c>
      <c r="M118" s="8">
        <f>IFERROR(IFNA(hlookup(G118,payment_methods!$A$1:$E$2,2,FALSE),"Payment method not found"), "Payment method not found")</f>
        <v>0</v>
      </c>
      <c r="N118" s="8">
        <f t="shared" si="2"/>
        <v>1998</v>
      </c>
      <c r="O118" s="8" t="str">
        <f t="shared" si="3"/>
        <v>Normal</v>
      </c>
    </row>
    <row r="119" ht="15.75" customHeight="1">
      <c r="A119" s="3" t="s">
        <v>236</v>
      </c>
      <c r="B119" s="5">
        <v>148.0</v>
      </c>
      <c r="C119" s="5">
        <v>29.0</v>
      </c>
      <c r="D119" s="9">
        <v>46031.71388888889</v>
      </c>
      <c r="E119" s="10">
        <f t="shared" si="1"/>
        <v>46031</v>
      </c>
      <c r="F119" s="5">
        <v>499.0</v>
      </c>
      <c r="G119" s="3" t="s">
        <v>20</v>
      </c>
      <c r="H119" s="3" t="s">
        <v>48</v>
      </c>
      <c r="I119" s="5">
        <v>89.0</v>
      </c>
      <c r="J119" s="8" t="str">
        <f>IFERROR(IFNA(vlookup(C119,merchants!$A$1:$D$41,2,FALSE),"Merchant not found"), "Merchant not found")</f>
        <v>Merchant_029</v>
      </c>
      <c r="K119" s="8" t="str">
        <f>IFERROR(IFNA(vlookup(C119,merchants!$A$1:$D$41,3,FALSE),"Merchant not found"), "Merchant not found")</f>
        <v>ecommerce</v>
      </c>
      <c r="L119" s="8" t="str">
        <f>IFERROR(IFNA(vlookup(C119,merchants!$A$1:$D$41,4,FALSE),"Merchant not found"), "Merchant not found")</f>
        <v>North</v>
      </c>
      <c r="M119" s="8">
        <f>IFERROR(IFNA(hlookup(G119,payment_methods!$A$1:$E$2,2,FALSE),"Payment method not found"), "Payment method not found")</f>
        <v>0</v>
      </c>
      <c r="N119" s="8">
        <f t="shared" si="2"/>
        <v>499</v>
      </c>
      <c r="O119" s="8" t="str">
        <f t="shared" si="3"/>
        <v>Normal</v>
      </c>
    </row>
    <row r="120" ht="15.75" customHeight="1">
      <c r="A120" s="3" t="s">
        <v>237</v>
      </c>
      <c r="B120" s="5">
        <v>323.0</v>
      </c>
      <c r="C120" s="5">
        <v>39.0</v>
      </c>
      <c r="D120" s="9">
        <v>46038.12569444445</v>
      </c>
      <c r="E120" s="10">
        <f t="shared" si="1"/>
        <v>46038</v>
      </c>
      <c r="F120" s="5">
        <v>499.0</v>
      </c>
      <c r="G120" s="3" t="s">
        <v>20</v>
      </c>
      <c r="H120" s="3" t="s">
        <v>48</v>
      </c>
      <c r="I120" s="5">
        <v>30.0</v>
      </c>
      <c r="J120" s="8" t="str">
        <f>IFERROR(IFNA(vlookup(C120,merchants!$A$1:$D$41,2,FALSE),"Merchant not found"), "Merchant not found")</f>
        <v>Merchant_039</v>
      </c>
      <c r="K120" s="8" t="str">
        <f>IFERROR(IFNA(vlookup(C120,merchants!$A$1:$D$41,3,FALSE),"Merchant not found"), "Merchant not found")</f>
        <v>entertainment</v>
      </c>
      <c r="L120" s="8" t="str">
        <f>IFERROR(IFNA(vlookup(C120,merchants!$A$1:$D$41,4,FALSE),"Merchant not found"), "Merchant not found")</f>
        <v>North</v>
      </c>
      <c r="M120" s="8">
        <f>IFERROR(IFNA(hlookup(G120,payment_methods!$A$1:$E$2,2,FALSE),"Payment method not found"), "Payment method not found")</f>
        <v>0</v>
      </c>
      <c r="N120" s="8">
        <f t="shared" si="2"/>
        <v>499</v>
      </c>
      <c r="O120" s="8" t="str">
        <f t="shared" si="3"/>
        <v>Normal</v>
      </c>
    </row>
    <row r="121" ht="15.75" customHeight="1">
      <c r="A121" s="3" t="s">
        <v>238</v>
      </c>
      <c r="B121" s="5">
        <v>283.0</v>
      </c>
      <c r="C121" s="5">
        <v>1.0</v>
      </c>
      <c r="D121" s="9">
        <v>46045.22152777778</v>
      </c>
      <c r="E121" s="10">
        <f t="shared" si="1"/>
        <v>46045</v>
      </c>
      <c r="F121" s="5">
        <v>2999.0</v>
      </c>
      <c r="G121" s="3" t="s">
        <v>15</v>
      </c>
      <c r="H121" s="3" t="s">
        <v>48</v>
      </c>
      <c r="I121" s="5">
        <v>70.0</v>
      </c>
      <c r="J121" s="8" t="str">
        <f>IFERROR(IFNA(vlookup(C121,merchants!$A$1:$D$41,2,FALSE),"Merchant not found"), "Merchant not found")</f>
        <v>Merchant_001</v>
      </c>
      <c r="K121" s="8" t="str">
        <f>IFERROR(IFNA(vlookup(C121,merchants!$A$1:$D$41,3,FALSE),"Merchant not found"), "Merchant not found")</f>
        <v>ecommerce</v>
      </c>
      <c r="L121" s="8" t="str">
        <f>IFERROR(IFNA(vlookup(C121,merchants!$A$1:$D$41,4,FALSE),"Merchant not found"), "Merchant not found")</f>
        <v>South</v>
      </c>
      <c r="M121" s="8">
        <f>IFERROR(IFNA(hlookup(G121,payment_methods!$A$1:$E$2,2,FALSE),"Payment method not found"), "Payment method not found")</f>
        <v>0.0025</v>
      </c>
      <c r="N121" s="8">
        <f t="shared" si="2"/>
        <v>3148</v>
      </c>
      <c r="O121" s="8" t="str">
        <f t="shared" si="3"/>
        <v>Normal</v>
      </c>
    </row>
    <row r="122" ht="15.75" customHeight="1">
      <c r="A122" s="3" t="s">
        <v>239</v>
      </c>
      <c r="B122" s="5">
        <v>59.0</v>
      </c>
      <c r="C122" s="5">
        <v>30.0</v>
      </c>
      <c r="D122" s="9">
        <v>46036.09305555555</v>
      </c>
      <c r="E122" s="10">
        <f t="shared" si="1"/>
        <v>46036</v>
      </c>
      <c r="F122" s="5">
        <v>499.0</v>
      </c>
      <c r="G122" s="3" t="s">
        <v>20</v>
      </c>
      <c r="H122" s="3" t="s">
        <v>48</v>
      </c>
      <c r="I122" s="5">
        <v>15.0</v>
      </c>
      <c r="J122" s="8" t="str">
        <f>IFERROR(IFNA(vlookup(C122,merchants!$A$1:$D$41,2,FALSE),"Merchant not found"), "Merchant not found")</f>
        <v>Merchant_030</v>
      </c>
      <c r="K122" s="8" t="str">
        <f>IFERROR(IFNA(vlookup(C122,merchants!$A$1:$D$41,3,FALSE),"Merchant not found"), "Merchant not found")</f>
        <v>travel</v>
      </c>
      <c r="L122" s="8" t="str">
        <f>IFERROR(IFNA(vlookup(C122,merchants!$A$1:$D$41,4,FALSE),"Merchant not found"), "Merchant not found")</f>
        <v>West</v>
      </c>
      <c r="M122" s="8">
        <f>IFERROR(IFNA(hlookup(G122,payment_methods!$A$1:$E$2,2,FALSE),"Payment method not found"), "Payment method not found")</f>
        <v>0</v>
      </c>
      <c r="N122" s="8">
        <f t="shared" si="2"/>
        <v>2497</v>
      </c>
      <c r="O122" s="8" t="str">
        <f t="shared" si="3"/>
        <v>Normal</v>
      </c>
    </row>
    <row r="123" ht="15.75" customHeight="1">
      <c r="A123" s="3" t="s">
        <v>240</v>
      </c>
      <c r="B123" s="5">
        <v>150.0</v>
      </c>
      <c r="C123" s="5">
        <v>33.0</v>
      </c>
      <c r="D123" s="9">
        <v>46043.18819444445</v>
      </c>
      <c r="E123" s="10">
        <f t="shared" si="1"/>
        <v>46043</v>
      </c>
      <c r="F123" s="5">
        <v>2999.0</v>
      </c>
      <c r="G123" s="3" t="s">
        <v>20</v>
      </c>
      <c r="H123" s="3" t="s">
        <v>48</v>
      </c>
      <c r="I123" s="5">
        <v>90.0</v>
      </c>
      <c r="J123" s="8" t="str">
        <f>IFERROR(IFNA(vlookup(C123,merchants!$A$1:$D$41,2,FALSE),"Merchant not found"), "Merchant not found")</f>
        <v>Merchant_033</v>
      </c>
      <c r="K123" s="8" t="str">
        <f>IFERROR(IFNA(vlookup(C123,merchants!$A$1:$D$41,3,FALSE),"Merchant not found"), "Merchant not found")</f>
        <v>bill_payment</v>
      </c>
      <c r="L123" s="8" t="str">
        <f>IFERROR(IFNA(vlookup(C123,merchants!$A$1:$D$41,4,FALSE),"Merchant not found"), "Merchant not found")</f>
        <v>East</v>
      </c>
      <c r="M123" s="8">
        <f>IFERROR(IFNA(hlookup(G123,payment_methods!$A$1:$E$2,2,FALSE),"Payment method not found"), "Payment method not found")</f>
        <v>0</v>
      </c>
      <c r="N123" s="8">
        <f t="shared" si="2"/>
        <v>3298</v>
      </c>
      <c r="O123" s="8" t="str">
        <f t="shared" si="3"/>
        <v>Normal</v>
      </c>
    </row>
    <row r="124" ht="15.75" customHeight="1">
      <c r="A124" s="3" t="s">
        <v>241</v>
      </c>
      <c r="B124" s="5">
        <v>248.0</v>
      </c>
      <c r="C124" s="5">
        <v>31.0</v>
      </c>
      <c r="D124" s="9">
        <v>46031.57847222222</v>
      </c>
      <c r="E124" s="10">
        <f t="shared" si="1"/>
        <v>46031</v>
      </c>
      <c r="F124" s="5">
        <v>1499.0</v>
      </c>
      <c r="G124" s="3" t="s">
        <v>20</v>
      </c>
      <c r="H124" s="3" t="s">
        <v>78</v>
      </c>
      <c r="I124" s="5">
        <v>31.0</v>
      </c>
      <c r="J124" s="8" t="str">
        <f>IFERROR(IFNA(vlookup(C124,merchants!$A$1:$D$41,2,FALSE),"Merchant not found"), "Merchant not found")</f>
        <v>Merchant_031</v>
      </c>
      <c r="K124" s="8" t="str">
        <f>IFERROR(IFNA(vlookup(C124,merchants!$A$1:$D$41,3,FALSE),"Merchant not found"), "Merchant not found")</f>
        <v>bill_payment</v>
      </c>
      <c r="L124" s="8" t="str">
        <f>IFERROR(IFNA(vlookup(C124,merchants!$A$1:$D$41,4,FALSE),"Merchant not found"), "Merchant not found")</f>
        <v>East</v>
      </c>
      <c r="M124" s="8">
        <f>IFERROR(IFNA(hlookup(G124,payment_methods!$A$1:$E$2,2,FALSE),"Payment method not found"), "Payment method not found")</f>
        <v>0</v>
      </c>
      <c r="N124" s="8">
        <f t="shared" si="2"/>
        <v>1499</v>
      </c>
      <c r="O124" s="8" t="str">
        <f t="shared" si="3"/>
        <v>Normal</v>
      </c>
    </row>
    <row r="125" ht="15.75" customHeight="1">
      <c r="A125" s="3" t="s">
        <v>242</v>
      </c>
      <c r="B125" s="5">
        <v>197.0</v>
      </c>
      <c r="C125" s="5">
        <v>13.0</v>
      </c>
      <c r="D125" s="9">
        <v>46037.714583333334</v>
      </c>
      <c r="E125" s="10">
        <f t="shared" si="1"/>
        <v>46037</v>
      </c>
      <c r="F125" s="5">
        <v>49.0</v>
      </c>
      <c r="G125" s="3" t="s">
        <v>20</v>
      </c>
      <c r="H125" s="3" t="s">
        <v>48</v>
      </c>
      <c r="I125" s="5">
        <v>76.0</v>
      </c>
      <c r="J125" s="8" t="str">
        <f>IFERROR(IFNA(vlookup(C125,merchants!$A$1:$D$41,2,FALSE),"Merchant not found"), "Merchant not found")</f>
        <v>Merchant_013</v>
      </c>
      <c r="K125" s="8" t="str">
        <f>IFERROR(IFNA(vlookup(C125,merchants!$A$1:$D$41,3,FALSE),"Merchant not found"), "Merchant not found")</f>
        <v>travel</v>
      </c>
      <c r="L125" s="8" t="str">
        <f>IFERROR(IFNA(vlookup(C125,merchants!$A$1:$D$41,4,FALSE),"Merchant not found"), "Merchant not found")</f>
        <v>East</v>
      </c>
      <c r="M125" s="8">
        <f>IFERROR(IFNA(hlookup(G125,payment_methods!$A$1:$E$2,2,FALSE),"Payment method not found"), "Payment method not found")</f>
        <v>0</v>
      </c>
      <c r="N125" s="8">
        <f t="shared" si="2"/>
        <v>49</v>
      </c>
      <c r="O125" s="8" t="str">
        <f t="shared" si="3"/>
        <v>Normal</v>
      </c>
    </row>
    <row r="126" ht="15.75" customHeight="1">
      <c r="A126" s="3" t="s">
        <v>243</v>
      </c>
      <c r="B126" s="5">
        <v>70.0</v>
      </c>
      <c r="C126" s="5">
        <v>5.0</v>
      </c>
      <c r="D126" s="9">
        <v>46039.99722222222</v>
      </c>
      <c r="E126" s="10">
        <f t="shared" si="1"/>
        <v>46039</v>
      </c>
      <c r="F126" s="5">
        <v>499.0</v>
      </c>
      <c r="G126" s="3" t="s">
        <v>20</v>
      </c>
      <c r="H126" s="3" t="s">
        <v>48</v>
      </c>
      <c r="I126" s="5">
        <v>35.0</v>
      </c>
      <c r="J126" s="8" t="str">
        <f>IFERROR(IFNA(vlookup(C126,merchants!$A$1:$D$41,2,FALSE),"Merchant not found"), "Merchant not found")</f>
        <v>Merchant_005</v>
      </c>
      <c r="K126" s="8" t="str">
        <f>IFERROR(IFNA(vlookup(C126,merchants!$A$1:$D$41,3,FALSE),"Merchant not found"), "Merchant not found")</f>
        <v>recharge</v>
      </c>
      <c r="L126" s="8" t="str">
        <f>IFERROR(IFNA(vlookup(C126,merchants!$A$1:$D$41,4,FALSE),"Merchant not found"), "Merchant not found")</f>
        <v>South</v>
      </c>
      <c r="M126" s="8">
        <f>IFERROR(IFNA(hlookup(G126,payment_methods!$A$1:$E$2,2,FALSE),"Payment method not found"), "Payment method not found")</f>
        <v>0</v>
      </c>
      <c r="N126" s="8">
        <f t="shared" si="2"/>
        <v>499</v>
      </c>
      <c r="O126" s="8" t="str">
        <f t="shared" si="3"/>
        <v>Normal</v>
      </c>
    </row>
    <row r="127" ht="15.75" customHeight="1">
      <c r="A127" s="3" t="s">
        <v>244</v>
      </c>
      <c r="B127" s="5">
        <v>260.0</v>
      </c>
      <c r="C127" s="5">
        <v>18.0</v>
      </c>
      <c r="D127" s="9">
        <v>46047.55625</v>
      </c>
      <c r="E127" s="10">
        <f t="shared" si="1"/>
        <v>46047</v>
      </c>
      <c r="F127" s="5">
        <v>1499.0</v>
      </c>
      <c r="G127" s="3" t="s">
        <v>20</v>
      </c>
      <c r="H127" s="3" t="s">
        <v>48</v>
      </c>
      <c r="I127" s="5">
        <v>0.0</v>
      </c>
      <c r="J127" s="8" t="str">
        <f>IFERROR(IFNA(vlookup(C127,merchants!$A$1:$D$41,2,FALSE),"Merchant not found"), "Merchant not found")</f>
        <v>Merchant_018</v>
      </c>
      <c r="K127" s="8" t="str">
        <f>IFERROR(IFNA(vlookup(C127,merchants!$A$1:$D$41,3,FALSE),"Merchant not found"), "Merchant not found")</f>
        <v>grocery</v>
      </c>
      <c r="L127" s="8" t="str">
        <f>IFERROR(IFNA(vlookup(C127,merchants!$A$1:$D$41,4,FALSE),"Merchant not found"), "Merchant not found")</f>
        <v>West</v>
      </c>
      <c r="M127" s="8">
        <f>IFERROR(IFNA(hlookup(G127,payment_methods!$A$1:$E$2,2,FALSE),"Payment method not found"), "Payment method not found")</f>
        <v>0</v>
      </c>
      <c r="N127" s="8">
        <f t="shared" si="2"/>
        <v>1648</v>
      </c>
      <c r="O127" s="8" t="str">
        <f t="shared" si="3"/>
        <v>Normal</v>
      </c>
    </row>
    <row r="128" ht="15.75" customHeight="1">
      <c r="A128" s="3" t="s">
        <v>245</v>
      </c>
      <c r="B128" s="5">
        <v>301.0</v>
      </c>
      <c r="C128" s="5">
        <v>38.0</v>
      </c>
      <c r="D128" s="9">
        <v>46032.97152777778</v>
      </c>
      <c r="E128" s="10">
        <f t="shared" si="1"/>
        <v>46032</v>
      </c>
      <c r="F128" s="5">
        <v>99.0</v>
      </c>
      <c r="G128" s="3" t="s">
        <v>20</v>
      </c>
      <c r="H128" s="3" t="s">
        <v>48</v>
      </c>
      <c r="I128" s="5">
        <v>84.0</v>
      </c>
      <c r="J128" s="8" t="str">
        <f>IFERROR(IFNA(vlookup(C128,merchants!$A$1:$D$41,2,FALSE),"Merchant not found"), "Merchant not found")</f>
        <v>Merchant_038</v>
      </c>
      <c r="K128" s="8" t="str">
        <f>IFERROR(IFNA(vlookup(C128,merchants!$A$1:$D$41,3,FALSE),"Merchant not found"), "Merchant not found")</f>
        <v>grocery</v>
      </c>
      <c r="L128" s="8" t="str">
        <f>IFERROR(IFNA(vlookup(C128,merchants!$A$1:$D$41,4,FALSE),"Merchant not found"), "Merchant not found")</f>
        <v>East</v>
      </c>
      <c r="M128" s="8">
        <f>IFERROR(IFNA(hlookup(G128,payment_methods!$A$1:$E$2,2,FALSE),"Payment method not found"), "Payment method not found")</f>
        <v>0</v>
      </c>
      <c r="N128" s="8">
        <f t="shared" si="2"/>
        <v>398</v>
      </c>
      <c r="O128" s="8" t="str">
        <f t="shared" si="3"/>
        <v>Normal</v>
      </c>
    </row>
    <row r="129" ht="15.75" customHeight="1">
      <c r="A129" s="3" t="s">
        <v>246</v>
      </c>
      <c r="B129" s="5">
        <v>276.0</v>
      </c>
      <c r="C129" s="5">
        <v>31.0</v>
      </c>
      <c r="D129" s="9">
        <v>46038.186111111114</v>
      </c>
      <c r="E129" s="10">
        <f t="shared" si="1"/>
        <v>46038</v>
      </c>
      <c r="F129" s="5">
        <v>499.0</v>
      </c>
      <c r="G129" s="3" t="s">
        <v>22</v>
      </c>
      <c r="H129" s="3" t="s">
        <v>48</v>
      </c>
      <c r="I129" s="5">
        <v>44.0</v>
      </c>
      <c r="J129" s="8" t="str">
        <f>IFERROR(IFNA(vlookup(C129,merchants!$A$1:$D$41,2,FALSE),"Merchant not found"), "Merchant not found")</f>
        <v>Merchant_031</v>
      </c>
      <c r="K129" s="8" t="str">
        <f>IFERROR(IFNA(vlookup(C129,merchants!$A$1:$D$41,3,FALSE),"Merchant not found"), "Merchant not found")</f>
        <v>bill_payment</v>
      </c>
      <c r="L129" s="8" t="str">
        <f>IFERROR(IFNA(vlookup(C129,merchants!$A$1:$D$41,4,FALSE),"Merchant not found"), "Merchant not found")</f>
        <v>East</v>
      </c>
      <c r="M129" s="8">
        <f>IFERROR(IFNA(hlookup(G129,payment_methods!$A$1:$E$2,2,FALSE),"Payment method not found"), "Payment method not found")</f>
        <v>0.01</v>
      </c>
      <c r="N129" s="8">
        <f t="shared" si="2"/>
        <v>499</v>
      </c>
      <c r="O129" s="8" t="str">
        <f t="shared" si="3"/>
        <v>Normal</v>
      </c>
    </row>
    <row r="130" ht="15.75" customHeight="1">
      <c r="A130" s="3" t="s">
        <v>247</v>
      </c>
      <c r="B130" s="5">
        <v>279.0</v>
      </c>
      <c r="C130" s="5">
        <v>25.0</v>
      </c>
      <c r="D130" s="9">
        <v>46033.74166666667</v>
      </c>
      <c r="E130" s="10">
        <f t="shared" si="1"/>
        <v>46033</v>
      </c>
      <c r="F130" s="5">
        <v>799.0</v>
      </c>
      <c r="G130" s="3" t="s">
        <v>20</v>
      </c>
      <c r="H130" s="3" t="s">
        <v>48</v>
      </c>
      <c r="I130" s="5">
        <v>58.0</v>
      </c>
      <c r="J130" s="8" t="str">
        <f>IFERROR(IFNA(vlookup(C130,merchants!$A$1:$D$41,2,FALSE),"Merchant not found"), "Merchant not found")</f>
        <v>Merchant_025</v>
      </c>
      <c r="K130" s="8" t="str">
        <f>IFERROR(IFNA(vlookup(C130,merchants!$A$1:$D$41,3,FALSE),"Merchant not found"), "Merchant not found")</f>
        <v>travel</v>
      </c>
      <c r="L130" s="8" t="str">
        <f>IFERROR(IFNA(vlookup(C130,merchants!$A$1:$D$41,4,FALSE),"Merchant not found"), "Merchant not found")</f>
        <v>South</v>
      </c>
      <c r="M130" s="8">
        <f>IFERROR(IFNA(hlookup(G130,payment_methods!$A$1:$E$2,2,FALSE),"Payment method not found"), "Payment method not found")</f>
        <v>0</v>
      </c>
      <c r="N130" s="8">
        <f t="shared" si="2"/>
        <v>799</v>
      </c>
      <c r="O130" s="8" t="str">
        <f t="shared" si="3"/>
        <v>Normal</v>
      </c>
    </row>
    <row r="131" ht="15.75" customHeight="1">
      <c r="A131" s="3" t="s">
        <v>248</v>
      </c>
      <c r="B131" s="5">
        <v>97.0</v>
      </c>
      <c r="C131" s="5">
        <v>16.0</v>
      </c>
      <c r="D131" s="9">
        <v>46052.45486111111</v>
      </c>
      <c r="E131" s="10">
        <f t="shared" si="1"/>
        <v>46052</v>
      </c>
      <c r="F131" s="5">
        <v>799.0</v>
      </c>
      <c r="G131" s="3" t="s">
        <v>22</v>
      </c>
      <c r="H131" s="3" t="s">
        <v>48</v>
      </c>
      <c r="I131" s="5">
        <v>73.0</v>
      </c>
      <c r="J131" s="8" t="str">
        <f>IFERROR(IFNA(vlookup(C131,merchants!$A$1:$D$41,2,FALSE),"Merchant not found"), "Merchant not found")</f>
        <v>Merchant_016</v>
      </c>
      <c r="K131" s="8" t="str">
        <f>IFERROR(IFNA(vlookup(C131,merchants!$A$1:$D$41,3,FALSE),"Merchant not found"), "Merchant not found")</f>
        <v>bill_payment</v>
      </c>
      <c r="L131" s="8" t="str">
        <f>IFERROR(IFNA(vlookup(C131,merchants!$A$1:$D$41,4,FALSE),"Merchant not found"), "Merchant not found")</f>
        <v>West</v>
      </c>
      <c r="M131" s="8">
        <f>IFERROR(IFNA(hlookup(G131,payment_methods!$A$1:$E$2,2,FALSE),"Payment method not found"), "Payment method not found")</f>
        <v>0.01</v>
      </c>
      <c r="N131" s="8">
        <f t="shared" si="2"/>
        <v>898</v>
      </c>
      <c r="O131" s="8" t="str">
        <f t="shared" si="3"/>
        <v>Normal</v>
      </c>
    </row>
    <row r="132" ht="15.75" customHeight="1">
      <c r="A132" s="3" t="s">
        <v>249</v>
      </c>
      <c r="B132" s="5">
        <v>211.0</v>
      </c>
      <c r="C132" s="5">
        <v>3.0</v>
      </c>
      <c r="D132" s="9">
        <v>46035.32916666667</v>
      </c>
      <c r="E132" s="10">
        <f t="shared" si="1"/>
        <v>46035</v>
      </c>
      <c r="F132" s="5">
        <v>149.0</v>
      </c>
      <c r="G132" s="3" t="s">
        <v>20</v>
      </c>
      <c r="H132" s="3" t="s">
        <v>81</v>
      </c>
      <c r="I132" s="5">
        <v>40.0</v>
      </c>
      <c r="J132" s="8" t="str">
        <f>IFERROR(IFNA(vlookup(C132,merchants!$A$1:$D$41,2,FALSE),"Merchant not found"), "Merchant not found")</f>
        <v>Merchant_003</v>
      </c>
      <c r="K132" s="8" t="str">
        <f>IFERROR(IFNA(vlookup(C132,merchants!$A$1:$D$41,3,FALSE),"Merchant not found"), "Merchant not found")</f>
        <v>grocery</v>
      </c>
      <c r="L132" s="8" t="str">
        <f>IFERROR(IFNA(vlookup(C132,merchants!$A$1:$D$41,4,FALSE),"Merchant not found"), "Merchant not found")</f>
        <v>East</v>
      </c>
      <c r="M132" s="8">
        <f>IFERROR(IFNA(hlookup(G132,payment_methods!$A$1:$E$2,2,FALSE),"Payment method not found"), "Payment method not found")</f>
        <v>0</v>
      </c>
      <c r="N132" s="8">
        <f t="shared" si="2"/>
        <v>198</v>
      </c>
      <c r="O132" s="8" t="str">
        <f t="shared" si="3"/>
        <v>Normal</v>
      </c>
    </row>
    <row r="133" ht="15.75" customHeight="1">
      <c r="A133" s="3" t="s">
        <v>250</v>
      </c>
      <c r="B133" s="5">
        <v>196.0</v>
      </c>
      <c r="C133" s="5">
        <v>25.0</v>
      </c>
      <c r="D133" s="9">
        <v>46046.65625</v>
      </c>
      <c r="E133" s="10">
        <f t="shared" si="1"/>
        <v>46046</v>
      </c>
      <c r="F133" s="5">
        <v>149.0</v>
      </c>
      <c r="G133" s="3" t="s">
        <v>25</v>
      </c>
      <c r="H133" s="3" t="s">
        <v>48</v>
      </c>
      <c r="I133" s="5">
        <v>84.0</v>
      </c>
      <c r="J133" s="8" t="str">
        <f>IFERROR(IFNA(vlookup(C133,merchants!$A$1:$D$41,2,FALSE),"Merchant not found"), "Merchant not found")</f>
        <v>Merchant_025</v>
      </c>
      <c r="K133" s="8" t="str">
        <f>IFERROR(IFNA(vlookup(C133,merchants!$A$1:$D$41,3,FALSE),"Merchant not found"), "Merchant not found")</f>
        <v>travel</v>
      </c>
      <c r="L133" s="8" t="str">
        <f>IFERROR(IFNA(vlookup(C133,merchants!$A$1:$D$41,4,FALSE),"Merchant not found"), "Merchant not found")</f>
        <v>South</v>
      </c>
      <c r="M133" s="8">
        <f>IFERROR(IFNA(hlookup(G133,payment_methods!$A$1:$E$2,2,FALSE),"Payment method not found"), "Payment method not found")</f>
        <v>0.005</v>
      </c>
      <c r="N133" s="8">
        <f t="shared" si="2"/>
        <v>497</v>
      </c>
      <c r="O133" s="8" t="str">
        <f t="shared" si="3"/>
        <v>Normal</v>
      </c>
    </row>
    <row r="134" ht="15.75" customHeight="1">
      <c r="A134" s="3" t="s">
        <v>251</v>
      </c>
      <c r="B134" s="5">
        <v>254.0</v>
      </c>
      <c r="C134" s="5">
        <v>3.0</v>
      </c>
      <c r="D134" s="9">
        <v>46048.839583333334</v>
      </c>
      <c r="E134" s="10">
        <f t="shared" si="1"/>
        <v>46048</v>
      </c>
      <c r="F134" s="5">
        <v>149.0</v>
      </c>
      <c r="G134" s="3" t="s">
        <v>22</v>
      </c>
      <c r="H134" s="3" t="s">
        <v>48</v>
      </c>
      <c r="I134" s="5">
        <v>16.0</v>
      </c>
      <c r="J134" s="8" t="str">
        <f>IFERROR(IFNA(vlookup(C134,merchants!$A$1:$D$41,2,FALSE),"Merchant not found"), "Merchant not found")</f>
        <v>Merchant_003</v>
      </c>
      <c r="K134" s="8" t="str">
        <f>IFERROR(IFNA(vlookup(C134,merchants!$A$1:$D$41,3,FALSE),"Merchant not found"), "Merchant not found")</f>
        <v>grocery</v>
      </c>
      <c r="L134" s="8" t="str">
        <f>IFERROR(IFNA(vlookup(C134,merchants!$A$1:$D$41,4,FALSE),"Merchant not found"), "Merchant not found")</f>
        <v>East</v>
      </c>
      <c r="M134" s="8">
        <f>IFERROR(IFNA(hlookup(G134,payment_methods!$A$1:$E$2,2,FALSE),"Payment method not found"), "Payment method not found")</f>
        <v>0.01</v>
      </c>
      <c r="N134" s="8">
        <f t="shared" si="2"/>
        <v>149</v>
      </c>
      <c r="O134" s="8" t="str">
        <f t="shared" si="3"/>
        <v>Normal</v>
      </c>
    </row>
    <row r="135" ht="15.75" customHeight="1">
      <c r="A135" s="3" t="s">
        <v>252</v>
      </c>
      <c r="B135" s="5">
        <v>52.0</v>
      </c>
      <c r="C135" s="5">
        <v>29.0</v>
      </c>
      <c r="D135" s="9">
        <v>46039.76458333333</v>
      </c>
      <c r="E135" s="10">
        <f t="shared" si="1"/>
        <v>46039</v>
      </c>
      <c r="F135" s="5">
        <v>49.0</v>
      </c>
      <c r="G135" s="3" t="s">
        <v>25</v>
      </c>
      <c r="H135" s="3" t="s">
        <v>48</v>
      </c>
      <c r="I135" s="5">
        <v>12.0</v>
      </c>
      <c r="J135" s="8" t="str">
        <f>IFERROR(IFNA(vlookup(C135,merchants!$A$1:$D$41,2,FALSE),"Merchant not found"), "Merchant not found")</f>
        <v>Merchant_029</v>
      </c>
      <c r="K135" s="8" t="str">
        <f>IFERROR(IFNA(vlookup(C135,merchants!$A$1:$D$41,3,FALSE),"Merchant not found"), "Merchant not found")</f>
        <v>ecommerce</v>
      </c>
      <c r="L135" s="8" t="str">
        <f>IFERROR(IFNA(vlookup(C135,merchants!$A$1:$D$41,4,FALSE),"Merchant not found"), "Merchant not found")</f>
        <v>North</v>
      </c>
      <c r="M135" s="8">
        <f>IFERROR(IFNA(hlookup(G135,payment_methods!$A$1:$E$2,2,FALSE),"Payment method not found"), "Payment method not found")</f>
        <v>0.005</v>
      </c>
      <c r="N135" s="8">
        <f t="shared" si="2"/>
        <v>49</v>
      </c>
      <c r="O135" s="8" t="str">
        <f t="shared" si="3"/>
        <v>Normal</v>
      </c>
    </row>
    <row r="136" ht="15.75" customHeight="1">
      <c r="A136" s="3" t="s">
        <v>253</v>
      </c>
      <c r="B136" s="5">
        <v>74.0</v>
      </c>
      <c r="C136" s="5">
        <v>27.0</v>
      </c>
      <c r="D136" s="9">
        <v>46039.583333333336</v>
      </c>
      <c r="E136" s="10">
        <f t="shared" si="1"/>
        <v>46039</v>
      </c>
      <c r="F136" s="5">
        <v>799.0</v>
      </c>
      <c r="G136" s="3" t="s">
        <v>20</v>
      </c>
      <c r="H136" s="3" t="s">
        <v>48</v>
      </c>
      <c r="I136" s="5">
        <v>83.0</v>
      </c>
      <c r="J136" s="8" t="str">
        <f>IFERROR(IFNA(vlookup(C136,merchants!$A$1:$D$41,2,FALSE),"Merchant not found"), "Merchant not found")</f>
        <v>Merchant_027</v>
      </c>
      <c r="K136" s="8" t="str">
        <f>IFERROR(IFNA(vlookup(C136,merchants!$A$1:$D$41,3,FALSE),"Merchant not found"), "Merchant not found")</f>
        <v>ecommerce</v>
      </c>
      <c r="L136" s="8" t="str">
        <f>IFERROR(IFNA(vlookup(C136,merchants!$A$1:$D$41,4,FALSE),"Merchant not found"), "Merchant not found")</f>
        <v>North</v>
      </c>
      <c r="M136" s="8">
        <f>IFERROR(IFNA(hlookup(G136,payment_methods!$A$1:$E$2,2,FALSE),"Payment method not found"), "Payment method not found")</f>
        <v>0</v>
      </c>
      <c r="N136" s="8">
        <f t="shared" si="2"/>
        <v>1597</v>
      </c>
      <c r="O136" s="8" t="str">
        <f t="shared" si="3"/>
        <v>Normal</v>
      </c>
    </row>
    <row r="137" ht="15.75" customHeight="1">
      <c r="A137" s="3" t="s">
        <v>254</v>
      </c>
      <c r="B137" s="5">
        <v>136.0</v>
      </c>
      <c r="C137" s="5">
        <v>22.0</v>
      </c>
      <c r="D137" s="9">
        <v>46027.104166666664</v>
      </c>
      <c r="E137" s="10">
        <f t="shared" si="1"/>
        <v>46027</v>
      </c>
      <c r="F137" s="5">
        <v>149.0</v>
      </c>
      <c r="G137" s="3" t="s">
        <v>20</v>
      </c>
      <c r="H137" s="3" t="s">
        <v>48</v>
      </c>
      <c r="I137" s="5">
        <v>79.0</v>
      </c>
      <c r="J137" s="8" t="str">
        <f>IFERROR(IFNA(vlookup(C137,merchants!$A$1:$D$41,2,FALSE),"Merchant not found"), "Merchant not found")</f>
        <v>Merchant_022</v>
      </c>
      <c r="K137" s="8" t="str">
        <f>IFERROR(IFNA(vlookup(C137,merchants!$A$1:$D$41,3,FALSE),"Merchant not found"), "Merchant not found")</f>
        <v>travel</v>
      </c>
      <c r="L137" s="8" t="str">
        <f>IFERROR(IFNA(vlookup(C137,merchants!$A$1:$D$41,4,FALSE),"Merchant not found"), "Merchant not found")</f>
        <v>South</v>
      </c>
      <c r="M137" s="8">
        <f>IFERROR(IFNA(hlookup(G137,payment_methods!$A$1:$E$2,2,FALSE),"Payment method not found"), "Payment method not found")</f>
        <v>0</v>
      </c>
      <c r="N137" s="8">
        <f t="shared" si="2"/>
        <v>448</v>
      </c>
      <c r="O137" s="8" t="str">
        <f t="shared" si="3"/>
        <v>Normal</v>
      </c>
    </row>
    <row r="138" ht="15.75" customHeight="1">
      <c r="A138" s="3" t="s">
        <v>255</v>
      </c>
      <c r="B138" s="5">
        <v>42.0</v>
      </c>
      <c r="C138" s="5">
        <v>22.0</v>
      </c>
      <c r="D138" s="9">
        <v>46045.52847222222</v>
      </c>
      <c r="E138" s="10">
        <f t="shared" si="1"/>
        <v>46045</v>
      </c>
      <c r="F138" s="5">
        <v>49.0</v>
      </c>
      <c r="G138" s="3" t="s">
        <v>20</v>
      </c>
      <c r="H138" s="3" t="s">
        <v>48</v>
      </c>
      <c r="I138" s="5">
        <v>86.0</v>
      </c>
      <c r="J138" s="8" t="str">
        <f>IFERROR(IFNA(vlookup(C138,merchants!$A$1:$D$41,2,FALSE),"Merchant not found"), "Merchant not found")</f>
        <v>Merchant_022</v>
      </c>
      <c r="K138" s="8" t="str">
        <f>IFERROR(IFNA(vlookup(C138,merchants!$A$1:$D$41,3,FALSE),"Merchant not found"), "Merchant not found")</f>
        <v>travel</v>
      </c>
      <c r="L138" s="8" t="str">
        <f>IFERROR(IFNA(vlookup(C138,merchants!$A$1:$D$41,4,FALSE),"Merchant not found"), "Merchant not found")</f>
        <v>South</v>
      </c>
      <c r="M138" s="8">
        <f>IFERROR(IFNA(hlookup(G138,payment_methods!$A$1:$E$2,2,FALSE),"Payment method not found"), "Payment method not found")</f>
        <v>0</v>
      </c>
      <c r="N138" s="8">
        <f t="shared" si="2"/>
        <v>49</v>
      </c>
      <c r="O138" s="8" t="str">
        <f t="shared" si="3"/>
        <v>Normal</v>
      </c>
    </row>
    <row r="139" ht="15.75" customHeight="1">
      <c r="A139" s="3" t="s">
        <v>256</v>
      </c>
      <c r="B139" s="5">
        <v>163.0</v>
      </c>
      <c r="C139" s="5">
        <v>32.0</v>
      </c>
      <c r="D139" s="9">
        <v>46050.725</v>
      </c>
      <c r="E139" s="10">
        <f t="shared" si="1"/>
        <v>46050</v>
      </c>
      <c r="F139" s="5">
        <v>2999.0</v>
      </c>
      <c r="G139" s="3" t="s">
        <v>15</v>
      </c>
      <c r="H139" s="3" t="s">
        <v>78</v>
      </c>
      <c r="I139" s="5">
        <v>69.0</v>
      </c>
      <c r="J139" s="8" t="str">
        <f>IFERROR(IFNA(vlookup(C139,merchants!$A$1:$D$41,2,FALSE),"Merchant not found"), "Merchant not found")</f>
        <v>Merchant_032</v>
      </c>
      <c r="K139" s="8" t="str">
        <f>IFERROR(IFNA(vlookup(C139,merchants!$A$1:$D$41,3,FALSE),"Merchant not found"), "Merchant not found")</f>
        <v>food_delivery</v>
      </c>
      <c r="L139" s="8" t="str">
        <f>IFERROR(IFNA(vlookup(C139,merchants!$A$1:$D$41,4,FALSE),"Merchant not found"), "Merchant not found")</f>
        <v>West</v>
      </c>
      <c r="M139" s="8">
        <f>IFERROR(IFNA(hlookup(G139,payment_methods!$A$1:$E$2,2,FALSE),"Payment method not found"), "Payment method not found")</f>
        <v>0.0025</v>
      </c>
      <c r="N139" s="8">
        <f t="shared" si="2"/>
        <v>2999</v>
      </c>
      <c r="O139" s="8" t="str">
        <f t="shared" si="3"/>
        <v>Normal</v>
      </c>
    </row>
    <row r="140" ht="15.75" customHeight="1">
      <c r="A140" s="3" t="s">
        <v>257</v>
      </c>
      <c r="B140" s="5">
        <v>121.0</v>
      </c>
      <c r="C140" s="5">
        <v>19.0</v>
      </c>
      <c r="D140" s="9">
        <v>46024.794444444444</v>
      </c>
      <c r="E140" s="10">
        <f t="shared" si="1"/>
        <v>46024</v>
      </c>
      <c r="F140" s="5">
        <v>149.0</v>
      </c>
      <c r="G140" s="3" t="s">
        <v>20</v>
      </c>
      <c r="H140" s="3" t="s">
        <v>48</v>
      </c>
      <c r="I140" s="5">
        <v>29.0</v>
      </c>
      <c r="J140" s="8" t="str">
        <f>IFERROR(IFNA(vlookup(C140,merchants!$A$1:$D$41,2,FALSE),"Merchant not found"), "Merchant not found")</f>
        <v>Merchant_019</v>
      </c>
      <c r="K140" s="8" t="str">
        <f>IFERROR(IFNA(vlookup(C140,merchants!$A$1:$D$41,3,FALSE),"Merchant not found"), "Merchant not found")</f>
        <v>grocery</v>
      </c>
      <c r="L140" s="8" t="str">
        <f>IFERROR(IFNA(vlookup(C140,merchants!$A$1:$D$41,4,FALSE),"Merchant not found"), "Merchant not found")</f>
        <v>North</v>
      </c>
      <c r="M140" s="8">
        <f>IFERROR(IFNA(hlookup(G140,payment_methods!$A$1:$E$2,2,FALSE),"Payment method not found"), "Payment method not found")</f>
        <v>0</v>
      </c>
      <c r="N140" s="8">
        <f t="shared" si="2"/>
        <v>149</v>
      </c>
      <c r="O140" s="8" t="str">
        <f t="shared" si="3"/>
        <v>Normal</v>
      </c>
    </row>
    <row r="141" ht="15.75" customHeight="1">
      <c r="A141" s="3" t="s">
        <v>258</v>
      </c>
      <c r="B141" s="5">
        <v>51.0</v>
      </c>
      <c r="C141" s="5">
        <v>7.0</v>
      </c>
      <c r="D141" s="9">
        <v>46046.10208333333</v>
      </c>
      <c r="E141" s="10">
        <f t="shared" si="1"/>
        <v>46046</v>
      </c>
      <c r="F141" s="5">
        <v>499.0</v>
      </c>
      <c r="G141" s="3" t="s">
        <v>22</v>
      </c>
      <c r="H141" s="3" t="s">
        <v>48</v>
      </c>
      <c r="I141" s="5">
        <v>56.0</v>
      </c>
      <c r="J141" s="8" t="str">
        <f>IFERROR(IFNA(vlookup(C141,merchants!$A$1:$D$41,2,FALSE),"Merchant not found"), "Merchant not found")</f>
        <v>Merchant_007</v>
      </c>
      <c r="K141" s="8" t="str">
        <f>IFERROR(IFNA(vlookup(C141,merchants!$A$1:$D$41,3,FALSE),"Merchant not found"), "Merchant not found")</f>
        <v>food_delivery</v>
      </c>
      <c r="L141" s="8" t="str">
        <f>IFERROR(IFNA(vlookup(C141,merchants!$A$1:$D$41,4,FALSE),"Merchant not found"), "Merchant not found")</f>
        <v>East</v>
      </c>
      <c r="M141" s="8">
        <f>IFERROR(IFNA(hlookup(G141,payment_methods!$A$1:$E$2,2,FALSE),"Payment method not found"), "Payment method not found")</f>
        <v>0.01</v>
      </c>
      <c r="N141" s="8">
        <f t="shared" si="2"/>
        <v>1298</v>
      </c>
      <c r="O141" s="8" t="str">
        <f t="shared" si="3"/>
        <v>Normal</v>
      </c>
    </row>
    <row r="142" ht="15.75" customHeight="1">
      <c r="A142" s="3" t="s">
        <v>259</v>
      </c>
      <c r="B142" s="5">
        <v>15.0</v>
      </c>
      <c r="C142" s="5">
        <v>3.0</v>
      </c>
      <c r="D142" s="9">
        <v>46028.92986111111</v>
      </c>
      <c r="E142" s="10">
        <f t="shared" si="1"/>
        <v>46028</v>
      </c>
      <c r="F142" s="5">
        <v>799.0</v>
      </c>
      <c r="G142" s="3" t="s">
        <v>20</v>
      </c>
      <c r="H142" s="3" t="s">
        <v>48</v>
      </c>
      <c r="I142" s="5">
        <v>41.0</v>
      </c>
      <c r="J142" s="8" t="str">
        <f>IFERROR(IFNA(vlookup(C142,merchants!$A$1:$D$41,2,FALSE),"Merchant not found"), "Merchant not found")</f>
        <v>Merchant_003</v>
      </c>
      <c r="K142" s="8" t="str">
        <f>IFERROR(IFNA(vlookup(C142,merchants!$A$1:$D$41,3,FALSE),"Merchant not found"), "Merchant not found")</f>
        <v>grocery</v>
      </c>
      <c r="L142" s="8" t="str">
        <f>IFERROR(IFNA(vlookup(C142,merchants!$A$1:$D$41,4,FALSE),"Merchant not found"), "Merchant not found")</f>
        <v>East</v>
      </c>
      <c r="M142" s="8">
        <f>IFERROR(IFNA(hlookup(G142,payment_methods!$A$1:$E$2,2,FALSE),"Payment method not found"), "Payment method not found")</f>
        <v>0</v>
      </c>
      <c r="N142" s="8">
        <f t="shared" si="2"/>
        <v>898</v>
      </c>
      <c r="O142" s="8" t="str">
        <f t="shared" si="3"/>
        <v>Normal</v>
      </c>
    </row>
    <row r="143" ht="15.75" customHeight="1">
      <c r="A143" s="3" t="s">
        <v>260</v>
      </c>
      <c r="B143" s="5">
        <v>184.0</v>
      </c>
      <c r="C143" s="5">
        <v>24.0</v>
      </c>
      <c r="D143" s="9">
        <v>46048.05416666667</v>
      </c>
      <c r="E143" s="10">
        <f t="shared" si="1"/>
        <v>46048</v>
      </c>
      <c r="F143" s="5">
        <v>49.0</v>
      </c>
      <c r="G143" s="3" t="s">
        <v>20</v>
      </c>
      <c r="H143" s="3" t="s">
        <v>48</v>
      </c>
      <c r="I143" s="5">
        <v>55.0</v>
      </c>
      <c r="J143" s="8" t="str">
        <f>IFERROR(IFNA(vlookup(C143,merchants!$A$1:$D$41,2,FALSE),"Merchant not found"), "Merchant not found")</f>
        <v>Merchant_024</v>
      </c>
      <c r="K143" s="8" t="str">
        <f>IFERROR(IFNA(vlookup(C143,merchants!$A$1:$D$41,3,FALSE),"Merchant not found"), "Merchant not found")</f>
        <v>grocery</v>
      </c>
      <c r="L143" s="8" t="str">
        <f>IFERROR(IFNA(vlookup(C143,merchants!$A$1:$D$41,4,FALSE),"Merchant not found"), "Merchant not found")</f>
        <v>North</v>
      </c>
      <c r="M143" s="8">
        <f>IFERROR(IFNA(hlookup(G143,payment_methods!$A$1:$E$2,2,FALSE),"Payment method not found"), "Payment method not found")</f>
        <v>0</v>
      </c>
      <c r="N143" s="8">
        <f t="shared" si="2"/>
        <v>348</v>
      </c>
      <c r="O143" s="8" t="str">
        <f t="shared" si="3"/>
        <v>Normal</v>
      </c>
    </row>
    <row r="144" ht="15.75" customHeight="1">
      <c r="A144" s="3" t="s">
        <v>261</v>
      </c>
      <c r="B144" s="5">
        <v>211.0</v>
      </c>
      <c r="C144" s="5">
        <v>37.0</v>
      </c>
      <c r="D144" s="9">
        <v>46027.31458333333</v>
      </c>
      <c r="E144" s="10">
        <f t="shared" si="1"/>
        <v>46027</v>
      </c>
      <c r="F144" s="5">
        <v>1499.0</v>
      </c>
      <c r="G144" s="3" t="s">
        <v>20</v>
      </c>
      <c r="H144" s="3" t="s">
        <v>48</v>
      </c>
      <c r="I144" s="5">
        <v>87.0</v>
      </c>
      <c r="J144" s="8" t="str">
        <f>IFERROR(IFNA(vlookup(C144,merchants!$A$1:$D$41,2,FALSE),"Merchant not found"), "Merchant not found")</f>
        <v>Merchant_037</v>
      </c>
      <c r="K144" s="8" t="str">
        <f>IFERROR(IFNA(vlookup(C144,merchants!$A$1:$D$41,3,FALSE),"Merchant not found"), "Merchant not found")</f>
        <v>entertainment</v>
      </c>
      <c r="L144" s="8" t="str">
        <f>IFERROR(IFNA(vlookup(C144,merchants!$A$1:$D$41,4,FALSE),"Merchant not found"), "Merchant not found")</f>
        <v>South</v>
      </c>
      <c r="M144" s="8">
        <f>IFERROR(IFNA(hlookup(G144,payment_methods!$A$1:$E$2,2,FALSE),"Payment method not found"), "Payment method not found")</f>
        <v>0</v>
      </c>
      <c r="N144" s="8">
        <f t="shared" si="2"/>
        <v>1499</v>
      </c>
      <c r="O144" s="8" t="str">
        <f t="shared" si="3"/>
        <v>Normal</v>
      </c>
    </row>
    <row r="145" ht="15.75" customHeight="1">
      <c r="A145" s="3" t="s">
        <v>262</v>
      </c>
      <c r="B145" s="5">
        <v>90.0</v>
      </c>
      <c r="C145" s="5">
        <v>6.0</v>
      </c>
      <c r="D145" s="9">
        <v>46048.21527777778</v>
      </c>
      <c r="E145" s="10">
        <f t="shared" si="1"/>
        <v>46048</v>
      </c>
      <c r="F145" s="5">
        <v>49.0</v>
      </c>
      <c r="G145" s="3" t="s">
        <v>22</v>
      </c>
      <c r="H145" s="3" t="s">
        <v>48</v>
      </c>
      <c r="I145" s="5">
        <v>78.0</v>
      </c>
      <c r="J145" s="8" t="str">
        <f>IFERROR(IFNA(vlookup(C145,merchants!$A$1:$D$41,2,FALSE),"Merchant not found"), "Merchant not found")</f>
        <v>Merchant_006</v>
      </c>
      <c r="K145" s="8" t="str">
        <f>IFERROR(IFNA(vlookup(C145,merchants!$A$1:$D$41,3,FALSE),"Merchant not found"), "Merchant not found")</f>
        <v>food_delivery</v>
      </c>
      <c r="L145" s="8" t="str">
        <f>IFERROR(IFNA(vlookup(C145,merchants!$A$1:$D$41,4,FALSE),"Merchant not found"), "Merchant not found")</f>
        <v>South</v>
      </c>
      <c r="M145" s="8">
        <f>IFERROR(IFNA(hlookup(G145,payment_methods!$A$1:$E$2,2,FALSE),"Payment method not found"), "Payment method not found")</f>
        <v>0.01</v>
      </c>
      <c r="N145" s="8">
        <f t="shared" si="2"/>
        <v>897</v>
      </c>
      <c r="O145" s="8" t="str">
        <f t="shared" si="3"/>
        <v>Normal</v>
      </c>
    </row>
    <row r="146" ht="15.75" customHeight="1">
      <c r="A146" s="3" t="s">
        <v>263</v>
      </c>
      <c r="B146" s="5">
        <v>350.0</v>
      </c>
      <c r="C146" s="5">
        <v>16.0</v>
      </c>
      <c r="D146" s="9">
        <v>46050.527083333334</v>
      </c>
      <c r="E146" s="10">
        <f t="shared" si="1"/>
        <v>46050</v>
      </c>
      <c r="F146" s="5">
        <v>49.0</v>
      </c>
      <c r="G146" s="3" t="s">
        <v>20</v>
      </c>
      <c r="H146" s="3" t="s">
        <v>48</v>
      </c>
      <c r="I146" s="5">
        <v>63.0</v>
      </c>
      <c r="J146" s="8" t="str">
        <f>IFERROR(IFNA(vlookup(C146,merchants!$A$1:$D$41,2,FALSE),"Merchant not found"), "Merchant not found")</f>
        <v>Merchant_016</v>
      </c>
      <c r="K146" s="8" t="str">
        <f>IFERROR(IFNA(vlookup(C146,merchants!$A$1:$D$41,3,FALSE),"Merchant not found"), "Merchant not found")</f>
        <v>bill_payment</v>
      </c>
      <c r="L146" s="8" t="str">
        <f>IFERROR(IFNA(vlookup(C146,merchants!$A$1:$D$41,4,FALSE),"Merchant not found"), "Merchant not found")</f>
        <v>West</v>
      </c>
      <c r="M146" s="8">
        <f>IFERROR(IFNA(hlookup(G146,payment_methods!$A$1:$E$2,2,FALSE),"Payment method not found"), "Payment method not found")</f>
        <v>0</v>
      </c>
      <c r="N146" s="8">
        <f t="shared" si="2"/>
        <v>49</v>
      </c>
      <c r="O146" s="8" t="str">
        <f t="shared" si="3"/>
        <v>Normal</v>
      </c>
    </row>
    <row r="147" ht="15.75" customHeight="1">
      <c r="A147" s="3" t="s">
        <v>264</v>
      </c>
      <c r="B147" s="5">
        <v>119.0</v>
      </c>
      <c r="C147" s="5">
        <v>30.0</v>
      </c>
      <c r="D147" s="9">
        <v>46052.75625</v>
      </c>
      <c r="E147" s="10">
        <f t="shared" si="1"/>
        <v>46052</v>
      </c>
      <c r="F147" s="5">
        <v>49.0</v>
      </c>
      <c r="G147" s="3" t="s">
        <v>22</v>
      </c>
      <c r="H147" s="3" t="s">
        <v>48</v>
      </c>
      <c r="I147" s="5">
        <v>81.0</v>
      </c>
      <c r="J147" s="8" t="str">
        <f>IFERROR(IFNA(vlookup(C147,merchants!$A$1:$D$41,2,FALSE),"Merchant not found"), "Merchant not found")</f>
        <v>Merchant_030</v>
      </c>
      <c r="K147" s="8" t="str">
        <f>IFERROR(IFNA(vlookup(C147,merchants!$A$1:$D$41,3,FALSE),"Merchant not found"), "Merchant not found")</f>
        <v>travel</v>
      </c>
      <c r="L147" s="8" t="str">
        <f>IFERROR(IFNA(vlookup(C147,merchants!$A$1:$D$41,4,FALSE),"Merchant not found"), "Merchant not found")</f>
        <v>West</v>
      </c>
      <c r="M147" s="8">
        <f>IFERROR(IFNA(hlookup(G147,payment_methods!$A$1:$E$2,2,FALSE),"Payment method not found"), "Payment method not found")</f>
        <v>0.01</v>
      </c>
      <c r="N147" s="8">
        <f t="shared" si="2"/>
        <v>49</v>
      </c>
      <c r="O147" s="8" t="str">
        <f t="shared" si="3"/>
        <v>Normal</v>
      </c>
    </row>
    <row r="148" ht="15.75" customHeight="1">
      <c r="A148" s="3" t="s">
        <v>265</v>
      </c>
      <c r="B148" s="5">
        <v>342.0</v>
      </c>
      <c r="C148" s="5">
        <v>1.0</v>
      </c>
      <c r="D148" s="9">
        <v>46031.59444444445</v>
      </c>
      <c r="E148" s="10">
        <f t="shared" si="1"/>
        <v>46031</v>
      </c>
      <c r="F148" s="5">
        <v>49.0</v>
      </c>
      <c r="G148" s="3" t="s">
        <v>20</v>
      </c>
      <c r="H148" s="3" t="s">
        <v>48</v>
      </c>
      <c r="I148" s="5">
        <v>59.0</v>
      </c>
      <c r="J148" s="8" t="str">
        <f>IFERROR(IFNA(vlookup(C148,merchants!$A$1:$D$41,2,FALSE),"Merchant not found"), "Merchant not found")</f>
        <v>Merchant_001</v>
      </c>
      <c r="K148" s="8" t="str">
        <f>IFERROR(IFNA(vlookup(C148,merchants!$A$1:$D$41,3,FALSE),"Merchant not found"), "Merchant not found")</f>
        <v>ecommerce</v>
      </c>
      <c r="L148" s="8" t="str">
        <f>IFERROR(IFNA(vlookup(C148,merchants!$A$1:$D$41,4,FALSE),"Merchant not found"), "Merchant not found")</f>
        <v>South</v>
      </c>
      <c r="M148" s="8">
        <f>IFERROR(IFNA(hlookup(G148,payment_methods!$A$1:$E$2,2,FALSE),"Payment method not found"), "Payment method not found")</f>
        <v>0</v>
      </c>
      <c r="N148" s="8">
        <f t="shared" si="2"/>
        <v>5048</v>
      </c>
      <c r="O148" s="8" t="str">
        <f t="shared" si="3"/>
        <v>High-Value Merchant Day</v>
      </c>
    </row>
    <row r="149" ht="15.75" customHeight="1">
      <c r="A149" s="3" t="s">
        <v>266</v>
      </c>
      <c r="B149" s="5">
        <v>280.0</v>
      </c>
      <c r="C149" s="5">
        <v>11.0</v>
      </c>
      <c r="D149" s="9">
        <v>46051.404861111114</v>
      </c>
      <c r="E149" s="10">
        <f t="shared" si="1"/>
        <v>46051</v>
      </c>
      <c r="F149" s="5">
        <v>149.0</v>
      </c>
      <c r="G149" s="3" t="s">
        <v>20</v>
      </c>
      <c r="H149" s="3" t="s">
        <v>81</v>
      </c>
      <c r="I149" s="5">
        <v>9.0</v>
      </c>
      <c r="J149" s="8" t="str">
        <f>IFERROR(IFNA(vlookup(C149,merchants!$A$1:$D$41,2,FALSE),"Merchant not found"), "Merchant not found")</f>
        <v>Merchant_011</v>
      </c>
      <c r="K149" s="8" t="str">
        <f>IFERROR(IFNA(vlookup(C149,merchants!$A$1:$D$41,3,FALSE),"Merchant not found"), "Merchant not found")</f>
        <v>ecommerce</v>
      </c>
      <c r="L149" s="8" t="str">
        <f>IFERROR(IFNA(vlookup(C149,merchants!$A$1:$D$41,4,FALSE),"Merchant not found"), "Merchant not found")</f>
        <v>North</v>
      </c>
      <c r="M149" s="8">
        <f>IFERROR(IFNA(hlookup(G149,payment_methods!$A$1:$E$2,2,FALSE),"Payment method not found"), "Payment method not found")</f>
        <v>0</v>
      </c>
      <c r="N149" s="8">
        <f t="shared" si="2"/>
        <v>149</v>
      </c>
      <c r="O149" s="8" t="str">
        <f t="shared" si="3"/>
        <v>Normal</v>
      </c>
    </row>
    <row r="150" ht="15.75" customHeight="1">
      <c r="A150" s="3" t="s">
        <v>267</v>
      </c>
      <c r="B150" s="5">
        <v>154.0</v>
      </c>
      <c r="C150" s="5">
        <v>28.0</v>
      </c>
      <c r="D150" s="9">
        <v>46037.48402777778</v>
      </c>
      <c r="E150" s="10">
        <f t="shared" si="1"/>
        <v>46037</v>
      </c>
      <c r="F150" s="5">
        <v>2999.0</v>
      </c>
      <c r="G150" s="3" t="s">
        <v>25</v>
      </c>
      <c r="H150" s="3" t="s">
        <v>48</v>
      </c>
      <c r="I150" s="5">
        <v>88.0</v>
      </c>
      <c r="J150" s="8" t="str">
        <f>IFERROR(IFNA(vlookup(C150,merchants!$A$1:$D$41,2,FALSE),"Merchant not found"), "Merchant not found")</f>
        <v>Merchant_028</v>
      </c>
      <c r="K150" s="8" t="str">
        <f>IFERROR(IFNA(vlookup(C150,merchants!$A$1:$D$41,3,FALSE),"Merchant not found"), "Merchant not found")</f>
        <v>ecommerce</v>
      </c>
      <c r="L150" s="8" t="str">
        <f>IFERROR(IFNA(vlookup(C150,merchants!$A$1:$D$41,4,FALSE),"Merchant not found"), "Merchant not found")</f>
        <v>South</v>
      </c>
      <c r="M150" s="8">
        <f>IFERROR(IFNA(hlookup(G150,payment_methods!$A$1:$E$2,2,FALSE),"Payment method not found"), "Payment method not found")</f>
        <v>0.005</v>
      </c>
      <c r="N150" s="8">
        <f t="shared" si="2"/>
        <v>2999</v>
      </c>
      <c r="O150" s="8" t="str">
        <f t="shared" si="3"/>
        <v>Normal</v>
      </c>
    </row>
    <row r="151" ht="15.75" customHeight="1">
      <c r="A151" s="3" t="s">
        <v>268</v>
      </c>
      <c r="B151" s="5">
        <v>155.0</v>
      </c>
      <c r="C151" s="5">
        <v>13.0</v>
      </c>
      <c r="D151" s="9">
        <v>46031.620833333334</v>
      </c>
      <c r="E151" s="10">
        <f t="shared" si="1"/>
        <v>46031</v>
      </c>
      <c r="F151" s="5">
        <v>149.0</v>
      </c>
      <c r="G151" s="3" t="s">
        <v>20</v>
      </c>
      <c r="H151" s="3" t="s">
        <v>48</v>
      </c>
      <c r="I151" s="5">
        <v>49.0</v>
      </c>
      <c r="J151" s="8" t="str">
        <f>IFERROR(IFNA(vlookup(C151,merchants!$A$1:$D$41,2,FALSE),"Merchant not found"), "Merchant not found")</f>
        <v>Merchant_013</v>
      </c>
      <c r="K151" s="8" t="str">
        <f>IFERROR(IFNA(vlookup(C151,merchants!$A$1:$D$41,3,FALSE),"Merchant not found"), "Merchant not found")</f>
        <v>travel</v>
      </c>
      <c r="L151" s="8" t="str">
        <f>IFERROR(IFNA(vlookup(C151,merchants!$A$1:$D$41,4,FALSE),"Merchant not found"), "Merchant not found")</f>
        <v>East</v>
      </c>
      <c r="M151" s="8">
        <f>IFERROR(IFNA(hlookup(G151,payment_methods!$A$1:$E$2,2,FALSE),"Payment method not found"), "Payment method not found")</f>
        <v>0</v>
      </c>
      <c r="N151" s="8">
        <f t="shared" si="2"/>
        <v>198</v>
      </c>
      <c r="O151" s="8" t="str">
        <f t="shared" si="3"/>
        <v>Normal</v>
      </c>
    </row>
    <row r="152" ht="15.75" customHeight="1">
      <c r="A152" s="3" t="s">
        <v>269</v>
      </c>
      <c r="B152" s="5">
        <v>122.0</v>
      </c>
      <c r="C152" s="5">
        <v>25.0</v>
      </c>
      <c r="D152" s="9">
        <v>46050.629166666666</v>
      </c>
      <c r="E152" s="10">
        <f t="shared" si="1"/>
        <v>46050</v>
      </c>
      <c r="F152" s="5">
        <v>299.0</v>
      </c>
      <c r="G152" s="3" t="s">
        <v>20</v>
      </c>
      <c r="H152" s="3" t="s">
        <v>48</v>
      </c>
      <c r="I152" s="5">
        <v>73.0</v>
      </c>
      <c r="J152" s="8" t="str">
        <f>IFERROR(IFNA(vlookup(C152,merchants!$A$1:$D$41,2,FALSE),"Merchant not found"), "Merchant not found")</f>
        <v>Merchant_025</v>
      </c>
      <c r="K152" s="8" t="str">
        <f>IFERROR(IFNA(vlookup(C152,merchants!$A$1:$D$41,3,FALSE),"Merchant not found"), "Merchant not found")</f>
        <v>travel</v>
      </c>
      <c r="L152" s="8" t="str">
        <f>IFERROR(IFNA(vlookup(C152,merchants!$A$1:$D$41,4,FALSE),"Merchant not found"), "Merchant not found")</f>
        <v>South</v>
      </c>
      <c r="M152" s="8">
        <f>IFERROR(IFNA(hlookup(G152,payment_methods!$A$1:$E$2,2,FALSE),"Payment method not found"), "Payment method not found")</f>
        <v>0</v>
      </c>
      <c r="N152" s="8">
        <f t="shared" si="2"/>
        <v>299</v>
      </c>
      <c r="O152" s="8" t="str">
        <f t="shared" si="3"/>
        <v>Normal</v>
      </c>
    </row>
    <row r="153" ht="15.75" customHeight="1">
      <c r="A153" s="3" t="s">
        <v>270</v>
      </c>
      <c r="B153" s="5">
        <v>152.0</v>
      </c>
      <c r="C153" s="5">
        <v>2.0</v>
      </c>
      <c r="D153" s="9">
        <v>46034.7625</v>
      </c>
      <c r="E153" s="10">
        <f t="shared" si="1"/>
        <v>46034</v>
      </c>
      <c r="F153" s="5">
        <v>49.0</v>
      </c>
      <c r="G153" s="3" t="s">
        <v>20</v>
      </c>
      <c r="H153" s="3" t="s">
        <v>48</v>
      </c>
      <c r="I153" s="5">
        <v>84.0</v>
      </c>
      <c r="J153" s="8" t="str">
        <f>IFERROR(IFNA(vlookup(C153,merchants!$A$1:$D$41,2,FALSE),"Merchant not found"), "Merchant not found")</f>
        <v>Merchant_002</v>
      </c>
      <c r="K153" s="8" t="str">
        <f>IFERROR(IFNA(vlookup(C153,merchants!$A$1:$D$41,3,FALSE),"Merchant not found"), "Merchant not found")</f>
        <v>grocery</v>
      </c>
      <c r="L153" s="8" t="str">
        <f>IFERROR(IFNA(vlookup(C153,merchants!$A$1:$D$41,4,FALSE),"Merchant not found"), "Merchant not found")</f>
        <v>West</v>
      </c>
      <c r="M153" s="8">
        <f>IFERROR(IFNA(hlookup(G153,payment_methods!$A$1:$E$2,2,FALSE),"Payment method not found"), "Payment method not found")</f>
        <v>0</v>
      </c>
      <c r="N153" s="8">
        <f t="shared" si="2"/>
        <v>348</v>
      </c>
      <c r="O153" s="8" t="str">
        <f t="shared" si="3"/>
        <v>Normal</v>
      </c>
    </row>
    <row r="154" ht="15.75" customHeight="1">
      <c r="A154" s="3" t="s">
        <v>271</v>
      </c>
      <c r="B154" s="5">
        <v>290.0</v>
      </c>
      <c r="C154" s="5">
        <v>4.0</v>
      </c>
      <c r="D154" s="9">
        <v>46035.333333333336</v>
      </c>
      <c r="E154" s="10">
        <f t="shared" si="1"/>
        <v>46035</v>
      </c>
      <c r="F154" s="5">
        <v>149.0</v>
      </c>
      <c r="G154" s="3" t="s">
        <v>20</v>
      </c>
      <c r="H154" s="3" t="s">
        <v>48</v>
      </c>
      <c r="I154" s="5">
        <v>77.0</v>
      </c>
      <c r="J154" s="8" t="str">
        <f>IFERROR(IFNA(vlookup(C154,merchants!$A$1:$D$41,2,FALSE),"Merchant not found"), "Merchant not found")</f>
        <v>Merchant_004</v>
      </c>
      <c r="K154" s="8" t="str">
        <f>IFERROR(IFNA(vlookup(C154,merchants!$A$1:$D$41,3,FALSE),"Merchant not found"), "Merchant not found")</f>
        <v>ecommerce</v>
      </c>
      <c r="L154" s="8" t="str">
        <f>IFERROR(IFNA(vlookup(C154,merchants!$A$1:$D$41,4,FALSE),"Merchant not found"), "Merchant not found")</f>
        <v>East</v>
      </c>
      <c r="M154" s="8">
        <f>IFERROR(IFNA(hlookup(G154,payment_methods!$A$1:$E$2,2,FALSE),"Payment method not found"), "Payment method not found")</f>
        <v>0</v>
      </c>
      <c r="N154" s="8">
        <f t="shared" si="2"/>
        <v>948</v>
      </c>
      <c r="O154" s="8" t="str">
        <f t="shared" si="3"/>
        <v>Normal</v>
      </c>
    </row>
    <row r="155" ht="15.75" customHeight="1">
      <c r="A155" s="3" t="s">
        <v>272</v>
      </c>
      <c r="B155" s="5">
        <v>147.0</v>
      </c>
      <c r="C155" s="5">
        <v>15.0</v>
      </c>
      <c r="D155" s="9">
        <v>46046.66180555556</v>
      </c>
      <c r="E155" s="10">
        <f t="shared" si="1"/>
        <v>46046</v>
      </c>
      <c r="F155" s="5">
        <v>49.0</v>
      </c>
      <c r="G155" s="3" t="s">
        <v>15</v>
      </c>
      <c r="H155" s="3" t="s">
        <v>48</v>
      </c>
      <c r="I155" s="5">
        <v>77.0</v>
      </c>
      <c r="J155" s="8" t="str">
        <f>IFERROR(IFNA(vlookup(C155,merchants!$A$1:$D$41,2,FALSE),"Merchant not found"), "Merchant not found")</f>
        <v>Merchant_015</v>
      </c>
      <c r="K155" s="8" t="str">
        <f>IFERROR(IFNA(vlookup(C155,merchants!$A$1:$D$41,3,FALSE),"Merchant not found"), "Merchant not found")</f>
        <v>travel</v>
      </c>
      <c r="L155" s="8" t="str">
        <f>IFERROR(IFNA(vlookup(C155,merchants!$A$1:$D$41,4,FALSE),"Merchant not found"), "Merchant not found")</f>
        <v>North</v>
      </c>
      <c r="M155" s="8">
        <f>IFERROR(IFNA(hlookup(G155,payment_methods!$A$1:$E$2,2,FALSE),"Payment method not found"), "Payment method not found")</f>
        <v>0.0025</v>
      </c>
      <c r="N155" s="8">
        <f t="shared" si="2"/>
        <v>148</v>
      </c>
      <c r="O155" s="8" t="str">
        <f t="shared" si="3"/>
        <v>Normal</v>
      </c>
    </row>
    <row r="156" ht="15.75" customHeight="1">
      <c r="A156" s="3" t="s">
        <v>273</v>
      </c>
      <c r="B156" s="5">
        <v>326.0</v>
      </c>
      <c r="C156" s="5">
        <v>13.0</v>
      </c>
      <c r="D156" s="9">
        <v>46048.46805555555</v>
      </c>
      <c r="E156" s="10">
        <f t="shared" si="1"/>
        <v>46048</v>
      </c>
      <c r="F156" s="5">
        <v>299.0</v>
      </c>
      <c r="G156" s="3" t="s">
        <v>25</v>
      </c>
      <c r="H156" s="3" t="s">
        <v>48</v>
      </c>
      <c r="I156" s="5">
        <v>79.0</v>
      </c>
      <c r="J156" s="8" t="str">
        <f>IFERROR(IFNA(vlookup(C156,merchants!$A$1:$D$41,2,FALSE),"Merchant not found"), "Merchant not found")</f>
        <v>Merchant_013</v>
      </c>
      <c r="K156" s="8" t="str">
        <f>IFERROR(IFNA(vlookup(C156,merchants!$A$1:$D$41,3,FALSE),"Merchant not found"), "Merchant not found")</f>
        <v>travel</v>
      </c>
      <c r="L156" s="8" t="str">
        <f>IFERROR(IFNA(vlookup(C156,merchants!$A$1:$D$41,4,FALSE),"Merchant not found"), "Merchant not found")</f>
        <v>East</v>
      </c>
      <c r="M156" s="8">
        <f>IFERROR(IFNA(hlookup(G156,payment_methods!$A$1:$E$2,2,FALSE),"Payment method not found"), "Payment method not found")</f>
        <v>0.005</v>
      </c>
      <c r="N156" s="8">
        <f t="shared" si="2"/>
        <v>299</v>
      </c>
      <c r="O156" s="8" t="str">
        <f t="shared" si="3"/>
        <v>Normal</v>
      </c>
    </row>
    <row r="157" ht="15.75" customHeight="1">
      <c r="A157" s="3" t="s">
        <v>274</v>
      </c>
      <c r="B157" s="5">
        <v>338.0</v>
      </c>
      <c r="C157" s="5">
        <v>9.0</v>
      </c>
      <c r="D157" s="9">
        <v>46031.90833333333</v>
      </c>
      <c r="E157" s="10">
        <f t="shared" si="1"/>
        <v>46031</v>
      </c>
      <c r="F157" s="5">
        <v>99.0</v>
      </c>
      <c r="G157" s="3" t="s">
        <v>22</v>
      </c>
      <c r="H157" s="3" t="s">
        <v>48</v>
      </c>
      <c r="I157" s="5">
        <v>80.0</v>
      </c>
      <c r="J157" s="8" t="str">
        <f>IFERROR(IFNA(vlookup(C157,merchants!$A$1:$D$41,2,FALSE),"Merchant not found"), "Merchant not found")</f>
        <v>Merchant_009</v>
      </c>
      <c r="K157" s="8" t="str">
        <f>IFERROR(IFNA(vlookup(C157,merchants!$A$1:$D$41,3,FALSE),"Merchant not found"), "Merchant not found")</f>
        <v>ecommerce</v>
      </c>
      <c r="L157" s="8" t="str">
        <f>IFERROR(IFNA(vlookup(C157,merchants!$A$1:$D$41,4,FALSE),"Merchant not found"), "Merchant not found")</f>
        <v>North</v>
      </c>
      <c r="M157" s="8">
        <f>IFERROR(IFNA(hlookup(G157,payment_methods!$A$1:$E$2,2,FALSE),"Payment method not found"), "Payment method not found")</f>
        <v>0.01</v>
      </c>
      <c r="N157" s="8">
        <f t="shared" si="2"/>
        <v>99</v>
      </c>
      <c r="O157" s="8" t="str">
        <f t="shared" si="3"/>
        <v>Normal</v>
      </c>
    </row>
    <row r="158" ht="15.75" customHeight="1">
      <c r="A158" s="3" t="s">
        <v>275</v>
      </c>
      <c r="B158" s="5">
        <v>21.0</v>
      </c>
      <c r="C158" s="5">
        <v>20.0</v>
      </c>
      <c r="D158" s="9">
        <v>46026.861805555556</v>
      </c>
      <c r="E158" s="10">
        <f t="shared" si="1"/>
        <v>46026</v>
      </c>
      <c r="F158" s="5">
        <v>2999.0</v>
      </c>
      <c r="G158" s="3" t="s">
        <v>20</v>
      </c>
      <c r="H158" s="3" t="s">
        <v>48</v>
      </c>
      <c r="I158" s="5">
        <v>100.0</v>
      </c>
      <c r="J158" s="8" t="str">
        <f>IFERROR(IFNA(vlookup(C158,merchants!$A$1:$D$41,2,FALSE),"Merchant not found"), "Merchant not found")</f>
        <v>Merchant_020</v>
      </c>
      <c r="K158" s="8" t="str">
        <f>IFERROR(IFNA(vlookup(C158,merchants!$A$1:$D$41,3,FALSE),"Merchant not found"), "Merchant not found")</f>
        <v>food_delivery</v>
      </c>
      <c r="L158" s="8" t="str">
        <f>IFERROR(IFNA(vlookup(C158,merchants!$A$1:$D$41,4,FALSE),"Merchant not found"), "Merchant not found")</f>
        <v>East</v>
      </c>
      <c r="M158" s="8">
        <f>IFERROR(IFNA(hlookup(G158,payment_methods!$A$1:$E$2,2,FALSE),"Payment method not found"), "Payment method not found")</f>
        <v>0</v>
      </c>
      <c r="N158" s="8">
        <f t="shared" si="2"/>
        <v>2999</v>
      </c>
      <c r="O158" s="8" t="str">
        <f t="shared" si="3"/>
        <v>Normal</v>
      </c>
    </row>
    <row r="159" ht="15.75" customHeight="1">
      <c r="A159" s="3" t="s">
        <v>276</v>
      </c>
      <c r="B159" s="5">
        <v>187.0</v>
      </c>
      <c r="C159" s="5">
        <v>9.0</v>
      </c>
      <c r="D159" s="9">
        <v>46037.06736111111</v>
      </c>
      <c r="E159" s="10">
        <f t="shared" si="1"/>
        <v>46037</v>
      </c>
      <c r="F159" s="5">
        <v>49.0</v>
      </c>
      <c r="G159" s="3" t="s">
        <v>22</v>
      </c>
      <c r="H159" s="3" t="s">
        <v>78</v>
      </c>
      <c r="I159" s="5">
        <v>11.0</v>
      </c>
      <c r="J159" s="8" t="str">
        <f>IFERROR(IFNA(vlookup(C159,merchants!$A$1:$D$41,2,FALSE),"Merchant not found"), "Merchant not found")</f>
        <v>Merchant_009</v>
      </c>
      <c r="K159" s="8" t="str">
        <f>IFERROR(IFNA(vlookup(C159,merchants!$A$1:$D$41,3,FALSE),"Merchant not found"), "Merchant not found")</f>
        <v>ecommerce</v>
      </c>
      <c r="L159" s="8" t="str">
        <f>IFERROR(IFNA(vlookup(C159,merchants!$A$1:$D$41,4,FALSE),"Merchant not found"), "Merchant not found")</f>
        <v>North</v>
      </c>
      <c r="M159" s="8">
        <f>IFERROR(IFNA(hlookup(G159,payment_methods!$A$1:$E$2,2,FALSE),"Payment method not found"), "Payment method not found")</f>
        <v>0.01</v>
      </c>
      <c r="N159" s="8">
        <f t="shared" si="2"/>
        <v>148</v>
      </c>
      <c r="O159" s="8" t="str">
        <f t="shared" si="3"/>
        <v>Normal</v>
      </c>
    </row>
    <row r="160" ht="15.75" customHeight="1">
      <c r="A160" s="3" t="s">
        <v>277</v>
      </c>
      <c r="B160" s="5">
        <v>213.0</v>
      </c>
      <c r="C160" s="5">
        <v>12.0</v>
      </c>
      <c r="D160" s="9">
        <v>46052.38888888889</v>
      </c>
      <c r="E160" s="10">
        <f t="shared" si="1"/>
        <v>46052</v>
      </c>
      <c r="F160" s="5">
        <v>4999.0</v>
      </c>
      <c r="G160" s="3" t="s">
        <v>20</v>
      </c>
      <c r="H160" s="3" t="s">
        <v>48</v>
      </c>
      <c r="I160" s="5">
        <v>25.0</v>
      </c>
      <c r="J160" s="8" t="str">
        <f>IFERROR(IFNA(vlookup(C160,merchants!$A$1:$D$41,2,FALSE),"Merchant not found"), "Merchant not found")</f>
        <v>Merchant_012</v>
      </c>
      <c r="K160" s="8" t="str">
        <f>IFERROR(IFNA(vlookup(C160,merchants!$A$1:$D$41,3,FALSE),"Merchant not found"), "Merchant not found")</f>
        <v>ecommerce</v>
      </c>
      <c r="L160" s="8" t="str">
        <f>IFERROR(IFNA(vlookup(C160,merchants!$A$1:$D$41,4,FALSE),"Merchant not found"), "Merchant not found")</f>
        <v>East</v>
      </c>
      <c r="M160" s="8">
        <f>IFERROR(IFNA(hlookup(G160,payment_methods!$A$1:$E$2,2,FALSE),"Payment method not found"), "Payment method not found")</f>
        <v>0</v>
      </c>
      <c r="N160" s="8">
        <f t="shared" si="2"/>
        <v>4999</v>
      </c>
      <c r="O160" s="8" t="str">
        <f t="shared" si="3"/>
        <v>Normal</v>
      </c>
    </row>
    <row r="161" ht="15.75" customHeight="1">
      <c r="A161" s="3" t="s">
        <v>278</v>
      </c>
      <c r="B161" s="5">
        <v>188.0</v>
      </c>
      <c r="C161" s="5">
        <v>34.0</v>
      </c>
      <c r="D161" s="9">
        <v>46027.74722222222</v>
      </c>
      <c r="E161" s="10">
        <f t="shared" si="1"/>
        <v>46027</v>
      </c>
      <c r="F161" s="5">
        <v>2999.0</v>
      </c>
      <c r="G161" s="3" t="s">
        <v>20</v>
      </c>
      <c r="H161" s="3" t="s">
        <v>48</v>
      </c>
      <c r="I161" s="5">
        <v>64.0</v>
      </c>
      <c r="J161" s="8" t="str">
        <f>IFERROR(IFNA(vlookup(C161,merchants!$A$1:$D$41,2,FALSE),"Merchant not found"), "Merchant not found")</f>
        <v>Merchant_034</v>
      </c>
      <c r="K161" s="8" t="str">
        <f>IFERROR(IFNA(vlookup(C161,merchants!$A$1:$D$41,3,FALSE),"Merchant not found"), "Merchant not found")</f>
        <v>travel</v>
      </c>
      <c r="L161" s="8" t="str">
        <f>IFERROR(IFNA(vlookup(C161,merchants!$A$1:$D$41,4,FALSE),"Merchant not found"), "Merchant not found")</f>
        <v>South</v>
      </c>
      <c r="M161" s="8">
        <f>IFERROR(IFNA(hlookup(G161,payment_methods!$A$1:$E$2,2,FALSE),"Payment method not found"), "Payment method not found")</f>
        <v>0</v>
      </c>
      <c r="N161" s="8">
        <f t="shared" si="2"/>
        <v>2999</v>
      </c>
      <c r="O161" s="8" t="str">
        <f t="shared" si="3"/>
        <v>Normal</v>
      </c>
    </row>
    <row r="162" ht="15.75" customHeight="1">
      <c r="A162" s="3" t="s">
        <v>279</v>
      </c>
      <c r="B162" s="5">
        <v>85.0</v>
      </c>
      <c r="C162" s="5">
        <v>17.0</v>
      </c>
      <c r="D162" s="9">
        <v>46052.37013888889</v>
      </c>
      <c r="E162" s="10">
        <f t="shared" si="1"/>
        <v>46052</v>
      </c>
      <c r="F162" s="5">
        <v>499.0</v>
      </c>
      <c r="G162" s="3" t="s">
        <v>20</v>
      </c>
      <c r="H162" s="3" t="s">
        <v>48</v>
      </c>
      <c r="I162" s="5">
        <v>61.0</v>
      </c>
      <c r="J162" s="8" t="str">
        <f>IFERROR(IFNA(vlookup(C162,merchants!$A$1:$D$41,2,FALSE),"Merchant not found"), "Merchant not found")</f>
        <v>Merchant_017</v>
      </c>
      <c r="K162" s="8" t="str">
        <f>IFERROR(IFNA(vlookup(C162,merchants!$A$1:$D$41,3,FALSE),"Merchant not found"), "Merchant not found")</f>
        <v>grocery</v>
      </c>
      <c r="L162" s="8" t="str">
        <f>IFERROR(IFNA(vlookup(C162,merchants!$A$1:$D$41,4,FALSE),"Merchant not found"), "Merchant not found")</f>
        <v>North</v>
      </c>
      <c r="M162" s="8">
        <f>IFERROR(IFNA(hlookup(G162,payment_methods!$A$1:$E$2,2,FALSE),"Payment method not found"), "Payment method not found")</f>
        <v>0</v>
      </c>
      <c r="N162" s="8">
        <f t="shared" si="2"/>
        <v>499</v>
      </c>
      <c r="O162" s="8" t="str">
        <f t="shared" si="3"/>
        <v>Normal</v>
      </c>
    </row>
    <row r="163" ht="15.75" customHeight="1">
      <c r="A163" s="3" t="s">
        <v>280</v>
      </c>
      <c r="B163" s="5">
        <v>174.0</v>
      </c>
      <c r="C163" s="5">
        <v>8.0</v>
      </c>
      <c r="D163" s="9">
        <v>46048.407638888886</v>
      </c>
      <c r="E163" s="10">
        <f t="shared" si="1"/>
        <v>46048</v>
      </c>
      <c r="F163" s="5">
        <v>299.0</v>
      </c>
      <c r="G163" s="3" t="s">
        <v>25</v>
      </c>
      <c r="H163" s="3" t="s">
        <v>48</v>
      </c>
      <c r="I163" s="5">
        <v>59.0</v>
      </c>
      <c r="J163" s="8" t="str">
        <f>IFERROR(IFNA(vlookup(C163,merchants!$A$1:$D$41,2,FALSE),"Merchant not found"), "Merchant not found")</f>
        <v>Merchant_008</v>
      </c>
      <c r="K163" s="8" t="str">
        <f>IFERROR(IFNA(vlookup(C163,merchants!$A$1:$D$41,3,FALSE),"Merchant not found"), "Merchant not found")</f>
        <v>food_delivery</v>
      </c>
      <c r="L163" s="8" t="str">
        <f>IFERROR(IFNA(vlookup(C163,merchants!$A$1:$D$41,4,FALSE),"Merchant not found"), "Merchant not found")</f>
        <v>North</v>
      </c>
      <c r="M163" s="8">
        <f>IFERROR(IFNA(hlookup(G163,payment_methods!$A$1:$E$2,2,FALSE),"Payment method not found"), "Payment method not found")</f>
        <v>0.005</v>
      </c>
      <c r="N163" s="8">
        <f t="shared" si="2"/>
        <v>598</v>
      </c>
      <c r="O163" s="8" t="str">
        <f t="shared" si="3"/>
        <v>Normal</v>
      </c>
    </row>
    <row r="164" ht="15.75" customHeight="1">
      <c r="A164" s="3" t="s">
        <v>281</v>
      </c>
      <c r="B164" s="5">
        <v>116.0</v>
      </c>
      <c r="C164" s="5">
        <v>26.0</v>
      </c>
      <c r="D164" s="9">
        <v>46025.2</v>
      </c>
      <c r="E164" s="10">
        <f t="shared" si="1"/>
        <v>46025</v>
      </c>
      <c r="F164" s="5">
        <v>99.0</v>
      </c>
      <c r="G164" s="3" t="s">
        <v>25</v>
      </c>
      <c r="H164" s="3" t="s">
        <v>48</v>
      </c>
      <c r="I164" s="5">
        <v>71.0</v>
      </c>
      <c r="J164" s="8" t="str">
        <f>IFERROR(IFNA(vlookup(C164,merchants!$A$1:$D$41,2,FALSE),"Merchant not found"), "Merchant not found")</f>
        <v>Merchant_026</v>
      </c>
      <c r="K164" s="8" t="str">
        <f>IFERROR(IFNA(vlookup(C164,merchants!$A$1:$D$41,3,FALSE),"Merchant not found"), "Merchant not found")</f>
        <v>food_delivery</v>
      </c>
      <c r="L164" s="8" t="str">
        <f>IFERROR(IFNA(vlookup(C164,merchants!$A$1:$D$41,4,FALSE),"Merchant not found"), "Merchant not found")</f>
        <v>East</v>
      </c>
      <c r="M164" s="8">
        <f>IFERROR(IFNA(hlookup(G164,payment_methods!$A$1:$E$2,2,FALSE),"Payment method not found"), "Payment method not found")</f>
        <v>0.005</v>
      </c>
      <c r="N164" s="8">
        <f t="shared" si="2"/>
        <v>99</v>
      </c>
      <c r="O164" s="8" t="str">
        <f t="shared" si="3"/>
        <v>Normal</v>
      </c>
    </row>
    <row r="165" ht="15.75" customHeight="1">
      <c r="A165" s="3" t="s">
        <v>282</v>
      </c>
      <c r="B165" s="5">
        <v>203.0</v>
      </c>
      <c r="C165" s="5">
        <v>1.0</v>
      </c>
      <c r="D165" s="9">
        <v>46034.118055555555</v>
      </c>
      <c r="E165" s="10">
        <f t="shared" si="1"/>
        <v>46034</v>
      </c>
      <c r="F165" s="5">
        <v>149.0</v>
      </c>
      <c r="G165" s="3" t="s">
        <v>15</v>
      </c>
      <c r="H165" s="3" t="s">
        <v>48</v>
      </c>
      <c r="I165" s="5">
        <v>33.0</v>
      </c>
      <c r="J165" s="8" t="str">
        <f>IFERROR(IFNA(vlookup(C165,merchants!$A$1:$D$41,2,FALSE),"Merchant not found"), "Merchant not found")</f>
        <v>Merchant_001</v>
      </c>
      <c r="K165" s="8" t="str">
        <f>IFERROR(IFNA(vlookup(C165,merchants!$A$1:$D$41,3,FALSE),"Merchant not found"), "Merchant not found")</f>
        <v>ecommerce</v>
      </c>
      <c r="L165" s="8" t="str">
        <f>IFERROR(IFNA(vlookup(C165,merchants!$A$1:$D$41,4,FALSE),"Merchant not found"), "Merchant not found")</f>
        <v>South</v>
      </c>
      <c r="M165" s="8">
        <f>IFERROR(IFNA(hlookup(G165,payment_methods!$A$1:$E$2,2,FALSE),"Payment method not found"), "Payment method not found")</f>
        <v>0.0025</v>
      </c>
      <c r="N165" s="8">
        <f t="shared" si="2"/>
        <v>149</v>
      </c>
      <c r="O165" s="8" t="str">
        <f t="shared" si="3"/>
        <v>Normal</v>
      </c>
    </row>
    <row r="166" ht="15.75" customHeight="1">
      <c r="A166" s="3" t="s">
        <v>283</v>
      </c>
      <c r="B166" s="5">
        <v>189.0</v>
      </c>
      <c r="C166" s="5">
        <v>17.0</v>
      </c>
      <c r="D166" s="9">
        <v>46040.14513888889</v>
      </c>
      <c r="E166" s="10">
        <f t="shared" si="1"/>
        <v>46040</v>
      </c>
      <c r="F166" s="5">
        <v>99.0</v>
      </c>
      <c r="G166" s="3" t="s">
        <v>20</v>
      </c>
      <c r="H166" s="3" t="s">
        <v>48</v>
      </c>
      <c r="I166" s="5">
        <v>74.0</v>
      </c>
      <c r="J166" s="8" t="str">
        <f>IFERROR(IFNA(vlookup(C166,merchants!$A$1:$D$41,2,FALSE),"Merchant not found"), "Merchant not found")</f>
        <v>Merchant_017</v>
      </c>
      <c r="K166" s="8" t="str">
        <f>IFERROR(IFNA(vlookup(C166,merchants!$A$1:$D$41,3,FALSE),"Merchant not found"), "Merchant not found")</f>
        <v>grocery</v>
      </c>
      <c r="L166" s="8" t="str">
        <f>IFERROR(IFNA(vlookup(C166,merchants!$A$1:$D$41,4,FALSE),"Merchant not found"), "Merchant not found")</f>
        <v>North</v>
      </c>
      <c r="M166" s="8">
        <f>IFERROR(IFNA(hlookup(G166,payment_methods!$A$1:$E$2,2,FALSE),"Payment method not found"), "Payment method not found")</f>
        <v>0</v>
      </c>
      <c r="N166" s="8">
        <f t="shared" si="2"/>
        <v>198</v>
      </c>
      <c r="O166" s="8" t="str">
        <f t="shared" si="3"/>
        <v>Normal</v>
      </c>
    </row>
    <row r="167" ht="15.75" customHeight="1">
      <c r="A167" s="3" t="s">
        <v>284</v>
      </c>
      <c r="B167" s="5">
        <v>56.0</v>
      </c>
      <c r="C167" s="5">
        <v>15.0</v>
      </c>
      <c r="D167" s="9">
        <v>46035.84930555556</v>
      </c>
      <c r="E167" s="10">
        <f t="shared" si="1"/>
        <v>46035</v>
      </c>
      <c r="F167" s="5">
        <v>299.0</v>
      </c>
      <c r="G167" s="3" t="s">
        <v>20</v>
      </c>
      <c r="H167" s="3" t="s">
        <v>48</v>
      </c>
      <c r="I167" s="5">
        <v>60.0</v>
      </c>
      <c r="J167" s="8" t="str">
        <f>IFERROR(IFNA(vlookup(C167,merchants!$A$1:$D$41,2,FALSE),"Merchant not found"), "Merchant not found")</f>
        <v>Merchant_015</v>
      </c>
      <c r="K167" s="8" t="str">
        <f>IFERROR(IFNA(vlookup(C167,merchants!$A$1:$D$41,3,FALSE),"Merchant not found"), "Merchant not found")</f>
        <v>travel</v>
      </c>
      <c r="L167" s="8" t="str">
        <f>IFERROR(IFNA(vlookup(C167,merchants!$A$1:$D$41,4,FALSE),"Merchant not found"), "Merchant not found")</f>
        <v>North</v>
      </c>
      <c r="M167" s="8">
        <f>IFERROR(IFNA(hlookup(G167,payment_methods!$A$1:$E$2,2,FALSE),"Payment method not found"), "Payment method not found")</f>
        <v>0</v>
      </c>
      <c r="N167" s="8">
        <f t="shared" si="2"/>
        <v>299</v>
      </c>
      <c r="O167" s="8" t="str">
        <f t="shared" si="3"/>
        <v>Normal</v>
      </c>
    </row>
    <row r="168" ht="15.75" customHeight="1">
      <c r="A168" s="3" t="s">
        <v>285</v>
      </c>
      <c r="B168" s="5">
        <v>288.0</v>
      </c>
      <c r="C168" s="5">
        <v>21.0</v>
      </c>
      <c r="D168" s="9">
        <v>46023.830555555556</v>
      </c>
      <c r="E168" s="10">
        <f t="shared" si="1"/>
        <v>46023</v>
      </c>
      <c r="F168" s="5">
        <v>4999.0</v>
      </c>
      <c r="G168" s="3" t="s">
        <v>15</v>
      </c>
      <c r="H168" s="3" t="s">
        <v>78</v>
      </c>
      <c r="I168" s="5">
        <v>78.0</v>
      </c>
      <c r="J168" s="8" t="str">
        <f>IFERROR(IFNA(vlookup(C168,merchants!$A$1:$D$41,2,FALSE),"Merchant not found"), "Merchant not found")</f>
        <v>Merchant_021</v>
      </c>
      <c r="K168" s="8" t="str">
        <f>IFERROR(IFNA(vlookup(C168,merchants!$A$1:$D$41,3,FALSE),"Merchant not found"), "Merchant not found")</f>
        <v>food_delivery</v>
      </c>
      <c r="L168" s="8" t="str">
        <f>IFERROR(IFNA(vlookup(C168,merchants!$A$1:$D$41,4,FALSE),"Merchant not found"), "Merchant not found")</f>
        <v>East</v>
      </c>
      <c r="M168" s="8">
        <f>IFERROR(IFNA(hlookup(G168,payment_methods!$A$1:$E$2,2,FALSE),"Payment method not found"), "Payment method not found")</f>
        <v>0.0025</v>
      </c>
      <c r="N168" s="8">
        <f t="shared" si="2"/>
        <v>5298</v>
      </c>
      <c r="O168" s="8" t="str">
        <f t="shared" si="3"/>
        <v>Normal</v>
      </c>
    </row>
    <row r="169" ht="15.75" customHeight="1">
      <c r="A169" s="3" t="s">
        <v>286</v>
      </c>
      <c r="B169" s="5">
        <v>326.0</v>
      </c>
      <c r="C169" s="5">
        <v>30.0</v>
      </c>
      <c r="D169" s="9">
        <v>46030.83611111111</v>
      </c>
      <c r="E169" s="10">
        <f t="shared" si="1"/>
        <v>46030</v>
      </c>
      <c r="F169" s="5">
        <v>99.0</v>
      </c>
      <c r="G169" s="3" t="s">
        <v>22</v>
      </c>
      <c r="H169" s="3" t="s">
        <v>48</v>
      </c>
      <c r="I169" s="5">
        <v>89.0</v>
      </c>
      <c r="J169" s="8" t="str">
        <f>IFERROR(IFNA(vlookup(C169,merchants!$A$1:$D$41,2,FALSE),"Merchant not found"), "Merchant not found")</f>
        <v>Merchant_030</v>
      </c>
      <c r="K169" s="8" t="str">
        <f>IFERROR(IFNA(vlookup(C169,merchants!$A$1:$D$41,3,FALSE),"Merchant not found"), "Merchant not found")</f>
        <v>travel</v>
      </c>
      <c r="L169" s="8" t="str">
        <f>IFERROR(IFNA(vlookup(C169,merchants!$A$1:$D$41,4,FALSE),"Merchant not found"), "Merchant not found")</f>
        <v>West</v>
      </c>
      <c r="M169" s="8">
        <f>IFERROR(IFNA(hlookup(G169,payment_methods!$A$1:$E$2,2,FALSE),"Payment method not found"), "Payment method not found")</f>
        <v>0.01</v>
      </c>
      <c r="N169" s="8">
        <f t="shared" si="2"/>
        <v>1197</v>
      </c>
      <c r="O169" s="8" t="str">
        <f t="shared" si="3"/>
        <v>Normal</v>
      </c>
    </row>
    <row r="170" ht="15.75" customHeight="1">
      <c r="A170" s="3" t="s">
        <v>287</v>
      </c>
      <c r="B170" s="5">
        <v>60.0</v>
      </c>
      <c r="C170" s="5">
        <v>9.0</v>
      </c>
      <c r="D170" s="9">
        <v>46032.85138888889</v>
      </c>
      <c r="E170" s="10">
        <f t="shared" si="1"/>
        <v>46032</v>
      </c>
      <c r="F170" s="5">
        <v>49.0</v>
      </c>
      <c r="G170" s="3" t="s">
        <v>25</v>
      </c>
      <c r="H170" s="3" t="s">
        <v>48</v>
      </c>
      <c r="I170" s="5">
        <v>5.0</v>
      </c>
      <c r="J170" s="8" t="str">
        <f>IFERROR(IFNA(vlookup(C170,merchants!$A$1:$D$41,2,FALSE),"Merchant not found"), "Merchant not found")</f>
        <v>Merchant_009</v>
      </c>
      <c r="K170" s="8" t="str">
        <f>IFERROR(IFNA(vlookup(C170,merchants!$A$1:$D$41,3,FALSE),"Merchant not found"), "Merchant not found")</f>
        <v>ecommerce</v>
      </c>
      <c r="L170" s="8" t="str">
        <f>IFERROR(IFNA(vlookup(C170,merchants!$A$1:$D$41,4,FALSE),"Merchant not found"), "Merchant not found")</f>
        <v>North</v>
      </c>
      <c r="M170" s="8">
        <f>IFERROR(IFNA(hlookup(G170,payment_methods!$A$1:$E$2,2,FALSE),"Payment method not found"), "Payment method not found")</f>
        <v>0.005</v>
      </c>
      <c r="N170" s="8">
        <f t="shared" si="2"/>
        <v>49</v>
      </c>
      <c r="O170" s="8" t="str">
        <f t="shared" si="3"/>
        <v>Normal</v>
      </c>
    </row>
    <row r="171" ht="15.75" customHeight="1">
      <c r="A171" s="3" t="s">
        <v>288</v>
      </c>
      <c r="B171" s="5">
        <v>60.0</v>
      </c>
      <c r="C171" s="5">
        <v>7.0</v>
      </c>
      <c r="D171" s="9">
        <v>46024.396527777775</v>
      </c>
      <c r="E171" s="10">
        <f t="shared" si="1"/>
        <v>46024</v>
      </c>
      <c r="F171" s="5">
        <v>2999.0</v>
      </c>
      <c r="G171" s="3" t="s">
        <v>15</v>
      </c>
      <c r="H171" s="3" t="s">
        <v>48</v>
      </c>
      <c r="I171" s="5">
        <v>30.0</v>
      </c>
      <c r="J171" s="8" t="str">
        <f>IFERROR(IFNA(vlookup(C171,merchants!$A$1:$D$41,2,FALSE),"Merchant not found"), "Merchant not found")</f>
        <v>Merchant_007</v>
      </c>
      <c r="K171" s="8" t="str">
        <f>IFERROR(IFNA(vlookup(C171,merchants!$A$1:$D$41,3,FALSE),"Merchant not found"), "Merchant not found")</f>
        <v>food_delivery</v>
      </c>
      <c r="L171" s="8" t="str">
        <f>IFERROR(IFNA(vlookup(C171,merchants!$A$1:$D$41,4,FALSE),"Merchant not found"), "Merchant not found")</f>
        <v>East</v>
      </c>
      <c r="M171" s="8">
        <f>IFERROR(IFNA(hlookup(G171,payment_methods!$A$1:$E$2,2,FALSE),"Payment method not found"), "Payment method not found")</f>
        <v>0.0025</v>
      </c>
      <c r="N171" s="8">
        <f t="shared" si="2"/>
        <v>3797</v>
      </c>
      <c r="O171" s="8" t="str">
        <f t="shared" si="3"/>
        <v>Normal</v>
      </c>
    </row>
    <row r="172" ht="15.75" customHeight="1">
      <c r="A172" s="3" t="s">
        <v>289</v>
      </c>
      <c r="B172" s="5">
        <v>199.0</v>
      </c>
      <c r="C172" s="5">
        <v>30.0</v>
      </c>
      <c r="D172" s="9">
        <v>46051.71388888889</v>
      </c>
      <c r="E172" s="10">
        <f t="shared" si="1"/>
        <v>46051</v>
      </c>
      <c r="F172" s="5">
        <v>149.0</v>
      </c>
      <c r="G172" s="3" t="s">
        <v>25</v>
      </c>
      <c r="H172" s="3" t="s">
        <v>48</v>
      </c>
      <c r="I172" s="5">
        <v>47.0</v>
      </c>
      <c r="J172" s="8" t="str">
        <f>IFERROR(IFNA(vlookup(C172,merchants!$A$1:$D$41,2,FALSE),"Merchant not found"), "Merchant not found")</f>
        <v>Merchant_030</v>
      </c>
      <c r="K172" s="8" t="str">
        <f>IFERROR(IFNA(vlookup(C172,merchants!$A$1:$D$41,3,FALSE),"Merchant not found"), "Merchant not found")</f>
        <v>travel</v>
      </c>
      <c r="L172" s="8" t="str">
        <f>IFERROR(IFNA(vlookup(C172,merchants!$A$1:$D$41,4,FALSE),"Merchant not found"), "Merchant not found")</f>
        <v>West</v>
      </c>
      <c r="M172" s="8">
        <f>IFERROR(IFNA(hlookup(G172,payment_methods!$A$1:$E$2,2,FALSE),"Payment method not found"), "Payment method not found")</f>
        <v>0.005</v>
      </c>
      <c r="N172" s="8">
        <f t="shared" si="2"/>
        <v>149</v>
      </c>
      <c r="O172" s="8" t="str">
        <f t="shared" si="3"/>
        <v>Normal</v>
      </c>
    </row>
    <row r="173" ht="15.75" customHeight="1">
      <c r="A173" s="3" t="s">
        <v>290</v>
      </c>
      <c r="B173" s="5">
        <v>277.0</v>
      </c>
      <c r="C173" s="5">
        <v>27.0</v>
      </c>
      <c r="D173" s="9">
        <v>46044.98888888889</v>
      </c>
      <c r="E173" s="10">
        <f t="shared" si="1"/>
        <v>46044</v>
      </c>
      <c r="F173" s="5">
        <v>49.0</v>
      </c>
      <c r="G173" s="3" t="s">
        <v>20</v>
      </c>
      <c r="H173" s="3" t="s">
        <v>48</v>
      </c>
      <c r="I173" s="5">
        <v>75.0</v>
      </c>
      <c r="J173" s="8" t="str">
        <f>IFERROR(IFNA(vlookup(C173,merchants!$A$1:$D$41,2,FALSE),"Merchant not found"), "Merchant not found")</f>
        <v>Merchant_027</v>
      </c>
      <c r="K173" s="8" t="str">
        <f>IFERROR(IFNA(vlookup(C173,merchants!$A$1:$D$41,3,FALSE),"Merchant not found"), "Merchant not found")</f>
        <v>ecommerce</v>
      </c>
      <c r="L173" s="8" t="str">
        <f>IFERROR(IFNA(vlookup(C173,merchants!$A$1:$D$41,4,FALSE),"Merchant not found"), "Merchant not found")</f>
        <v>North</v>
      </c>
      <c r="M173" s="8">
        <f>IFERROR(IFNA(hlookup(G173,payment_methods!$A$1:$E$2,2,FALSE),"Payment method not found"), "Payment method not found")</f>
        <v>0</v>
      </c>
      <c r="N173" s="8">
        <f t="shared" si="2"/>
        <v>49</v>
      </c>
      <c r="O173" s="8" t="str">
        <f t="shared" si="3"/>
        <v>Normal</v>
      </c>
    </row>
    <row r="174" ht="15.75" customHeight="1">
      <c r="A174" s="3" t="s">
        <v>291</v>
      </c>
      <c r="B174" s="5">
        <v>213.0</v>
      </c>
      <c r="C174" s="5">
        <v>7.0</v>
      </c>
      <c r="D174" s="9">
        <v>46046.964583333334</v>
      </c>
      <c r="E174" s="10">
        <f t="shared" si="1"/>
        <v>46046</v>
      </c>
      <c r="F174" s="5">
        <v>799.0</v>
      </c>
      <c r="G174" s="3" t="s">
        <v>25</v>
      </c>
      <c r="H174" s="3" t="s">
        <v>48</v>
      </c>
      <c r="I174" s="5">
        <v>62.0</v>
      </c>
      <c r="J174" s="8" t="str">
        <f>IFERROR(IFNA(vlookup(C174,merchants!$A$1:$D$41,2,FALSE),"Merchant not found"), "Merchant not found")</f>
        <v>Merchant_007</v>
      </c>
      <c r="K174" s="8" t="str">
        <f>IFERROR(IFNA(vlookup(C174,merchants!$A$1:$D$41,3,FALSE),"Merchant not found"), "Merchant not found")</f>
        <v>food_delivery</v>
      </c>
      <c r="L174" s="8" t="str">
        <f>IFERROR(IFNA(vlookup(C174,merchants!$A$1:$D$41,4,FALSE),"Merchant not found"), "Merchant not found")</f>
        <v>East</v>
      </c>
      <c r="M174" s="8">
        <f>IFERROR(IFNA(hlookup(G174,payment_methods!$A$1:$E$2,2,FALSE),"Payment method not found"), "Payment method not found")</f>
        <v>0.005</v>
      </c>
      <c r="N174" s="8">
        <f t="shared" si="2"/>
        <v>1298</v>
      </c>
      <c r="O174" s="8" t="str">
        <f t="shared" si="3"/>
        <v>Normal</v>
      </c>
    </row>
    <row r="175" ht="15.75" customHeight="1">
      <c r="A175" s="3" t="s">
        <v>292</v>
      </c>
      <c r="B175" s="5">
        <v>17.0</v>
      </c>
      <c r="C175" s="5">
        <v>24.0</v>
      </c>
      <c r="D175" s="9">
        <v>46042.55347222222</v>
      </c>
      <c r="E175" s="10">
        <f t="shared" si="1"/>
        <v>46042</v>
      </c>
      <c r="F175" s="5">
        <v>299.0</v>
      </c>
      <c r="G175" s="3" t="s">
        <v>20</v>
      </c>
      <c r="H175" s="3" t="s">
        <v>48</v>
      </c>
      <c r="I175" s="5">
        <v>27.0</v>
      </c>
      <c r="J175" s="8" t="str">
        <f>IFERROR(IFNA(vlookup(C175,merchants!$A$1:$D$41,2,FALSE),"Merchant not found"), "Merchant not found")</f>
        <v>Merchant_024</v>
      </c>
      <c r="K175" s="8" t="str">
        <f>IFERROR(IFNA(vlookup(C175,merchants!$A$1:$D$41,3,FALSE),"Merchant not found"), "Merchant not found")</f>
        <v>grocery</v>
      </c>
      <c r="L175" s="8" t="str">
        <f>IFERROR(IFNA(vlookup(C175,merchants!$A$1:$D$41,4,FALSE),"Merchant not found"), "Merchant not found")</f>
        <v>North</v>
      </c>
      <c r="M175" s="8">
        <f>IFERROR(IFNA(hlookup(G175,payment_methods!$A$1:$E$2,2,FALSE),"Payment method not found"), "Payment method not found")</f>
        <v>0</v>
      </c>
      <c r="N175" s="8">
        <f t="shared" si="2"/>
        <v>299</v>
      </c>
      <c r="O175" s="8" t="str">
        <f t="shared" si="3"/>
        <v>Normal</v>
      </c>
    </row>
    <row r="176" ht="15.75" customHeight="1">
      <c r="A176" s="3" t="s">
        <v>293</v>
      </c>
      <c r="B176" s="5">
        <v>186.0</v>
      </c>
      <c r="C176" s="5">
        <v>7.0</v>
      </c>
      <c r="D176" s="9">
        <v>46037.59375</v>
      </c>
      <c r="E176" s="10">
        <f t="shared" si="1"/>
        <v>46037</v>
      </c>
      <c r="F176" s="5">
        <v>1499.0</v>
      </c>
      <c r="G176" s="3" t="s">
        <v>22</v>
      </c>
      <c r="H176" s="3" t="s">
        <v>78</v>
      </c>
      <c r="I176" s="5">
        <v>87.0</v>
      </c>
      <c r="J176" s="8" t="str">
        <f>IFERROR(IFNA(vlookup(C176,merchants!$A$1:$D$41,2,FALSE),"Merchant not found"), "Merchant not found")</f>
        <v>Merchant_007</v>
      </c>
      <c r="K176" s="8" t="str">
        <f>IFERROR(IFNA(vlookup(C176,merchants!$A$1:$D$41,3,FALSE),"Merchant not found"), "Merchant not found")</f>
        <v>food_delivery</v>
      </c>
      <c r="L176" s="8" t="str">
        <f>IFERROR(IFNA(vlookup(C176,merchants!$A$1:$D$41,4,FALSE),"Merchant not found"), "Merchant not found")</f>
        <v>East</v>
      </c>
      <c r="M176" s="8">
        <f>IFERROR(IFNA(hlookup(G176,payment_methods!$A$1:$E$2,2,FALSE),"Payment method not found"), "Payment method not found")</f>
        <v>0.01</v>
      </c>
      <c r="N176" s="8">
        <f t="shared" si="2"/>
        <v>1648</v>
      </c>
      <c r="O176" s="8" t="str">
        <f t="shared" si="3"/>
        <v>Normal</v>
      </c>
    </row>
    <row r="177" ht="15.75" customHeight="1">
      <c r="A177" s="3" t="s">
        <v>294</v>
      </c>
      <c r="B177" s="5">
        <v>331.0</v>
      </c>
      <c r="C177" s="5">
        <v>23.0</v>
      </c>
      <c r="D177" s="9">
        <v>46034.74791666667</v>
      </c>
      <c r="E177" s="10">
        <f t="shared" si="1"/>
        <v>46034</v>
      </c>
      <c r="F177" s="5">
        <v>149.0</v>
      </c>
      <c r="G177" s="3" t="s">
        <v>20</v>
      </c>
      <c r="H177" s="3" t="s">
        <v>48</v>
      </c>
      <c r="I177" s="5">
        <v>7.0</v>
      </c>
      <c r="J177" s="8" t="str">
        <f>IFERROR(IFNA(vlookup(C177,merchants!$A$1:$D$41,2,FALSE),"Merchant not found"), "Merchant not found")</f>
        <v>Merchant_023</v>
      </c>
      <c r="K177" s="8" t="str">
        <f>IFERROR(IFNA(vlookup(C177,merchants!$A$1:$D$41,3,FALSE),"Merchant not found"), "Merchant not found")</f>
        <v>travel</v>
      </c>
      <c r="L177" s="8" t="str">
        <f>IFERROR(IFNA(vlookup(C177,merchants!$A$1:$D$41,4,FALSE),"Merchant not found"), "Merchant not found")</f>
        <v>North</v>
      </c>
      <c r="M177" s="8">
        <f>IFERROR(IFNA(hlookup(G177,payment_methods!$A$1:$E$2,2,FALSE),"Payment method not found"), "Payment method not found")</f>
        <v>0</v>
      </c>
      <c r="N177" s="8">
        <f t="shared" si="2"/>
        <v>149</v>
      </c>
      <c r="O177" s="8" t="str">
        <f t="shared" si="3"/>
        <v>Normal</v>
      </c>
    </row>
    <row r="178" ht="15.75" customHeight="1">
      <c r="A178" s="3" t="s">
        <v>295</v>
      </c>
      <c r="B178" s="5">
        <v>63.0</v>
      </c>
      <c r="C178" s="5">
        <v>30.0</v>
      </c>
      <c r="D178" s="9">
        <v>46035.34166666667</v>
      </c>
      <c r="E178" s="10">
        <f t="shared" si="1"/>
        <v>46035</v>
      </c>
      <c r="F178" s="5">
        <v>1499.0</v>
      </c>
      <c r="G178" s="3" t="s">
        <v>22</v>
      </c>
      <c r="H178" s="3" t="s">
        <v>48</v>
      </c>
      <c r="I178" s="5">
        <v>11.0</v>
      </c>
      <c r="J178" s="8" t="str">
        <f>IFERROR(IFNA(vlookup(C178,merchants!$A$1:$D$41,2,FALSE),"Merchant not found"), "Merchant not found")</f>
        <v>Merchant_030</v>
      </c>
      <c r="K178" s="8" t="str">
        <f>IFERROR(IFNA(vlookup(C178,merchants!$A$1:$D$41,3,FALSE),"Merchant not found"), "Merchant not found")</f>
        <v>travel</v>
      </c>
      <c r="L178" s="8" t="str">
        <f>IFERROR(IFNA(vlookup(C178,merchants!$A$1:$D$41,4,FALSE),"Merchant not found"), "Merchant not found")</f>
        <v>West</v>
      </c>
      <c r="M178" s="8">
        <f>IFERROR(IFNA(hlookup(G178,payment_methods!$A$1:$E$2,2,FALSE),"Payment method not found"), "Payment method not found")</f>
        <v>0.01</v>
      </c>
      <c r="N178" s="8">
        <f t="shared" si="2"/>
        <v>1499</v>
      </c>
      <c r="O178" s="8" t="str">
        <f t="shared" si="3"/>
        <v>Normal</v>
      </c>
    </row>
    <row r="179" ht="15.75" customHeight="1">
      <c r="A179" s="3" t="s">
        <v>296</v>
      </c>
      <c r="B179" s="5">
        <v>328.0</v>
      </c>
      <c r="C179" s="5">
        <v>39.0</v>
      </c>
      <c r="D179" s="9">
        <v>46044.27847222222</v>
      </c>
      <c r="E179" s="10">
        <f t="shared" si="1"/>
        <v>46044</v>
      </c>
      <c r="F179" s="5">
        <v>4999.0</v>
      </c>
      <c r="G179" s="3" t="s">
        <v>15</v>
      </c>
      <c r="H179" s="3" t="s">
        <v>81</v>
      </c>
      <c r="I179" s="5">
        <v>2.0</v>
      </c>
      <c r="J179" s="8" t="str">
        <f>IFERROR(IFNA(vlookup(C179,merchants!$A$1:$D$41,2,FALSE),"Merchant not found"), "Merchant not found")</f>
        <v>Merchant_039</v>
      </c>
      <c r="K179" s="8" t="str">
        <f>IFERROR(IFNA(vlookup(C179,merchants!$A$1:$D$41,3,FALSE),"Merchant not found"), "Merchant not found")</f>
        <v>entertainment</v>
      </c>
      <c r="L179" s="8" t="str">
        <f>IFERROR(IFNA(vlookup(C179,merchants!$A$1:$D$41,4,FALSE),"Merchant not found"), "Merchant not found")</f>
        <v>North</v>
      </c>
      <c r="M179" s="8">
        <f>IFERROR(IFNA(hlookup(G179,payment_methods!$A$1:$E$2,2,FALSE),"Payment method not found"), "Payment method not found")</f>
        <v>0.0025</v>
      </c>
      <c r="N179" s="8">
        <f t="shared" si="2"/>
        <v>9796</v>
      </c>
      <c r="O179" s="8" t="str">
        <f t="shared" si="3"/>
        <v>High-Value Merchant Day</v>
      </c>
    </row>
    <row r="180" ht="15.75" customHeight="1">
      <c r="A180" s="3" t="s">
        <v>297</v>
      </c>
      <c r="B180" s="5">
        <v>65.0</v>
      </c>
      <c r="C180" s="5">
        <v>37.0</v>
      </c>
      <c r="D180" s="9">
        <v>46024.427083333336</v>
      </c>
      <c r="E180" s="10">
        <f t="shared" si="1"/>
        <v>46024</v>
      </c>
      <c r="F180" s="5">
        <v>2999.0</v>
      </c>
      <c r="G180" s="3" t="s">
        <v>22</v>
      </c>
      <c r="H180" s="3" t="s">
        <v>48</v>
      </c>
      <c r="I180" s="5">
        <v>26.0</v>
      </c>
      <c r="J180" s="8" t="str">
        <f>IFERROR(IFNA(vlookup(C180,merchants!$A$1:$D$41,2,FALSE),"Merchant not found"), "Merchant not found")</f>
        <v>Merchant_037</v>
      </c>
      <c r="K180" s="8" t="str">
        <f>IFERROR(IFNA(vlookup(C180,merchants!$A$1:$D$41,3,FALSE),"Merchant not found"), "Merchant not found")</f>
        <v>entertainment</v>
      </c>
      <c r="L180" s="8" t="str">
        <f>IFERROR(IFNA(vlookup(C180,merchants!$A$1:$D$41,4,FALSE),"Merchant not found"), "Merchant not found")</f>
        <v>South</v>
      </c>
      <c r="M180" s="8">
        <f>IFERROR(IFNA(hlookup(G180,payment_methods!$A$1:$E$2,2,FALSE),"Payment method not found"), "Payment method not found")</f>
        <v>0.01</v>
      </c>
      <c r="N180" s="8">
        <f t="shared" si="2"/>
        <v>2999</v>
      </c>
      <c r="O180" s="8" t="str">
        <f t="shared" si="3"/>
        <v>Normal</v>
      </c>
    </row>
    <row r="181" ht="15.75" customHeight="1">
      <c r="A181" s="3" t="s">
        <v>298</v>
      </c>
      <c r="B181" s="5">
        <v>301.0</v>
      </c>
      <c r="C181" s="5">
        <v>14.0</v>
      </c>
      <c r="D181" s="9">
        <v>46025.717361111114</v>
      </c>
      <c r="E181" s="10">
        <f t="shared" si="1"/>
        <v>46025</v>
      </c>
      <c r="F181" s="5">
        <v>149.0</v>
      </c>
      <c r="G181" s="3" t="s">
        <v>20</v>
      </c>
      <c r="H181" s="3" t="s">
        <v>48</v>
      </c>
      <c r="I181" s="5">
        <v>29.0</v>
      </c>
      <c r="J181" s="8" t="str">
        <f>IFERROR(IFNA(vlookup(C181,merchants!$A$1:$D$41,2,FALSE),"Merchant not found"), "Merchant not found")</f>
        <v>Merchant_014</v>
      </c>
      <c r="K181" s="8" t="str">
        <f>IFERROR(IFNA(vlookup(C181,merchants!$A$1:$D$41,3,FALSE),"Merchant not found"), "Merchant not found")</f>
        <v>grocery</v>
      </c>
      <c r="L181" s="8" t="str">
        <f>IFERROR(IFNA(vlookup(C181,merchants!$A$1:$D$41,4,FALSE),"Merchant not found"), "Merchant not found")</f>
        <v>East</v>
      </c>
      <c r="M181" s="8">
        <f>IFERROR(IFNA(hlookup(G181,payment_methods!$A$1:$E$2,2,FALSE),"Payment method not found"), "Payment method not found")</f>
        <v>0</v>
      </c>
      <c r="N181" s="8">
        <f t="shared" si="2"/>
        <v>149</v>
      </c>
      <c r="O181" s="8" t="str">
        <f t="shared" si="3"/>
        <v>Normal</v>
      </c>
    </row>
    <row r="182" ht="15.75" customHeight="1">
      <c r="A182" s="3" t="s">
        <v>299</v>
      </c>
      <c r="B182" s="5">
        <v>306.0</v>
      </c>
      <c r="C182" s="5">
        <v>1.0</v>
      </c>
      <c r="D182" s="9">
        <v>46033.20138888889</v>
      </c>
      <c r="E182" s="10">
        <f t="shared" si="1"/>
        <v>46033</v>
      </c>
      <c r="F182" s="5">
        <v>299.0</v>
      </c>
      <c r="G182" s="3" t="s">
        <v>20</v>
      </c>
      <c r="H182" s="3" t="s">
        <v>78</v>
      </c>
      <c r="I182" s="5">
        <v>35.0</v>
      </c>
      <c r="J182" s="8" t="str">
        <f>IFERROR(IFNA(vlookup(C182,merchants!$A$1:$D$41,2,FALSE),"Merchant not found"), "Merchant not found")</f>
        <v>Merchant_001</v>
      </c>
      <c r="K182" s="8" t="str">
        <f>IFERROR(IFNA(vlookup(C182,merchants!$A$1:$D$41,3,FALSE),"Merchant not found"), "Merchant not found")</f>
        <v>ecommerce</v>
      </c>
      <c r="L182" s="8" t="str">
        <f>IFERROR(IFNA(vlookup(C182,merchants!$A$1:$D$41,4,FALSE),"Merchant not found"), "Merchant not found")</f>
        <v>South</v>
      </c>
      <c r="M182" s="8">
        <f>IFERROR(IFNA(hlookup(G182,payment_methods!$A$1:$E$2,2,FALSE),"Payment method not found"), "Payment method not found")</f>
        <v>0</v>
      </c>
      <c r="N182" s="8">
        <f t="shared" si="2"/>
        <v>299</v>
      </c>
      <c r="O182" s="8" t="str">
        <f t="shared" si="3"/>
        <v>Normal</v>
      </c>
    </row>
    <row r="183" ht="15.75" customHeight="1">
      <c r="A183" s="3" t="s">
        <v>300</v>
      </c>
      <c r="B183" s="5">
        <v>277.0</v>
      </c>
      <c r="C183" s="5">
        <v>17.0</v>
      </c>
      <c r="D183" s="9">
        <v>46050.17222222222</v>
      </c>
      <c r="E183" s="10">
        <f t="shared" si="1"/>
        <v>46050</v>
      </c>
      <c r="F183" s="5">
        <v>299.0</v>
      </c>
      <c r="G183" s="3" t="s">
        <v>20</v>
      </c>
      <c r="H183" s="3" t="s">
        <v>48</v>
      </c>
      <c r="I183" s="5">
        <v>22.0</v>
      </c>
      <c r="J183" s="8" t="str">
        <f>IFERROR(IFNA(vlookup(C183,merchants!$A$1:$D$41,2,FALSE),"Merchant not found"), "Merchant not found")</f>
        <v>Merchant_017</v>
      </c>
      <c r="K183" s="8" t="str">
        <f>IFERROR(IFNA(vlookup(C183,merchants!$A$1:$D$41,3,FALSE),"Merchant not found"), "Merchant not found")</f>
        <v>grocery</v>
      </c>
      <c r="L183" s="8" t="str">
        <f>IFERROR(IFNA(vlookup(C183,merchants!$A$1:$D$41,4,FALSE),"Merchant not found"), "Merchant not found")</f>
        <v>North</v>
      </c>
      <c r="M183" s="8">
        <f>IFERROR(IFNA(hlookup(G183,payment_methods!$A$1:$E$2,2,FALSE),"Payment method not found"), "Payment method not found")</f>
        <v>0</v>
      </c>
      <c r="N183" s="8">
        <f t="shared" si="2"/>
        <v>299</v>
      </c>
      <c r="O183" s="8" t="str">
        <f t="shared" si="3"/>
        <v>Normal</v>
      </c>
    </row>
    <row r="184" ht="15.75" customHeight="1">
      <c r="A184" s="3" t="s">
        <v>301</v>
      </c>
      <c r="B184" s="5">
        <v>14.0</v>
      </c>
      <c r="C184" s="5">
        <v>9.0</v>
      </c>
      <c r="D184" s="9">
        <v>46026.913194444445</v>
      </c>
      <c r="E184" s="10">
        <f t="shared" si="1"/>
        <v>46026</v>
      </c>
      <c r="F184" s="5">
        <v>499.0</v>
      </c>
      <c r="G184" s="3" t="s">
        <v>20</v>
      </c>
      <c r="H184" s="3" t="s">
        <v>48</v>
      </c>
      <c r="I184" s="5">
        <v>1.0</v>
      </c>
      <c r="J184" s="8" t="str">
        <f>IFERROR(IFNA(vlookup(C184,merchants!$A$1:$D$41,2,FALSE),"Merchant not found"), "Merchant not found")</f>
        <v>Merchant_009</v>
      </c>
      <c r="K184" s="8" t="str">
        <f>IFERROR(IFNA(vlookup(C184,merchants!$A$1:$D$41,3,FALSE),"Merchant not found"), "Merchant not found")</f>
        <v>ecommerce</v>
      </c>
      <c r="L184" s="8" t="str">
        <f>IFERROR(IFNA(vlookup(C184,merchants!$A$1:$D$41,4,FALSE),"Merchant not found"), "Merchant not found")</f>
        <v>North</v>
      </c>
      <c r="M184" s="8">
        <f>IFERROR(IFNA(hlookup(G184,payment_methods!$A$1:$E$2,2,FALSE),"Payment method not found"), "Payment method not found")</f>
        <v>0</v>
      </c>
      <c r="N184" s="8">
        <f t="shared" si="2"/>
        <v>499</v>
      </c>
      <c r="O184" s="8" t="str">
        <f t="shared" si="3"/>
        <v>Normal</v>
      </c>
    </row>
    <row r="185" ht="15.75" customHeight="1">
      <c r="A185" s="3" t="s">
        <v>302</v>
      </c>
      <c r="B185" s="5">
        <v>166.0</v>
      </c>
      <c r="C185" s="5">
        <v>2.0</v>
      </c>
      <c r="D185" s="9">
        <v>46034.31736111111</v>
      </c>
      <c r="E185" s="10">
        <f t="shared" si="1"/>
        <v>46034</v>
      </c>
      <c r="F185" s="5">
        <v>299.0</v>
      </c>
      <c r="G185" s="3" t="s">
        <v>22</v>
      </c>
      <c r="H185" s="3" t="s">
        <v>48</v>
      </c>
      <c r="I185" s="5">
        <v>22.0</v>
      </c>
      <c r="J185" s="8" t="str">
        <f>IFERROR(IFNA(vlookup(C185,merchants!$A$1:$D$41,2,FALSE),"Merchant not found"), "Merchant not found")</f>
        <v>Merchant_002</v>
      </c>
      <c r="K185" s="8" t="str">
        <f>IFERROR(IFNA(vlookup(C185,merchants!$A$1:$D$41,3,FALSE),"Merchant not found"), "Merchant not found")</f>
        <v>grocery</v>
      </c>
      <c r="L185" s="8" t="str">
        <f>IFERROR(IFNA(vlookup(C185,merchants!$A$1:$D$41,4,FALSE),"Merchant not found"), "Merchant not found")</f>
        <v>West</v>
      </c>
      <c r="M185" s="8">
        <f>IFERROR(IFNA(hlookup(G185,payment_methods!$A$1:$E$2,2,FALSE),"Payment method not found"), "Payment method not found")</f>
        <v>0.01</v>
      </c>
      <c r="N185" s="8">
        <f t="shared" si="2"/>
        <v>348</v>
      </c>
      <c r="O185" s="8" t="str">
        <f t="shared" si="3"/>
        <v>Normal</v>
      </c>
    </row>
    <row r="186" ht="15.75" customHeight="1">
      <c r="A186" s="3" t="s">
        <v>303</v>
      </c>
      <c r="B186" s="5">
        <v>216.0</v>
      </c>
      <c r="C186" s="5">
        <v>34.0</v>
      </c>
      <c r="D186" s="9">
        <v>46031.04722222222</v>
      </c>
      <c r="E186" s="10">
        <f t="shared" si="1"/>
        <v>46031</v>
      </c>
      <c r="F186" s="5">
        <v>299.0</v>
      </c>
      <c r="G186" s="3" t="s">
        <v>22</v>
      </c>
      <c r="H186" s="3" t="s">
        <v>48</v>
      </c>
      <c r="I186" s="5">
        <v>14.0</v>
      </c>
      <c r="J186" s="8" t="str">
        <f>IFERROR(IFNA(vlookup(C186,merchants!$A$1:$D$41,2,FALSE),"Merchant not found"), "Merchant not found")</f>
        <v>Merchant_034</v>
      </c>
      <c r="K186" s="8" t="str">
        <f>IFERROR(IFNA(vlookup(C186,merchants!$A$1:$D$41,3,FALSE),"Merchant not found"), "Merchant not found")</f>
        <v>travel</v>
      </c>
      <c r="L186" s="8" t="str">
        <f>IFERROR(IFNA(vlookup(C186,merchants!$A$1:$D$41,4,FALSE),"Merchant not found"), "Merchant not found")</f>
        <v>South</v>
      </c>
      <c r="M186" s="8">
        <f>IFERROR(IFNA(hlookup(G186,payment_methods!$A$1:$E$2,2,FALSE),"Payment method not found"), "Payment method not found")</f>
        <v>0.01</v>
      </c>
      <c r="N186" s="8">
        <f t="shared" si="2"/>
        <v>299</v>
      </c>
      <c r="O186" s="8" t="str">
        <f t="shared" si="3"/>
        <v>Normal</v>
      </c>
    </row>
    <row r="187" ht="15.75" customHeight="1">
      <c r="A187" s="3" t="s">
        <v>304</v>
      </c>
      <c r="B187" s="5">
        <v>230.0</v>
      </c>
      <c r="C187" s="5">
        <v>24.0</v>
      </c>
      <c r="D187" s="9">
        <v>46046.104166666664</v>
      </c>
      <c r="E187" s="10">
        <f t="shared" si="1"/>
        <v>46046</v>
      </c>
      <c r="F187" s="5">
        <v>49.0</v>
      </c>
      <c r="G187" s="3" t="s">
        <v>20</v>
      </c>
      <c r="H187" s="3" t="s">
        <v>48</v>
      </c>
      <c r="I187" s="5">
        <v>65.0</v>
      </c>
      <c r="J187" s="8" t="str">
        <f>IFERROR(IFNA(vlookup(C187,merchants!$A$1:$D$41,2,FALSE),"Merchant not found"), "Merchant not found")</f>
        <v>Merchant_024</v>
      </c>
      <c r="K187" s="8" t="str">
        <f>IFERROR(IFNA(vlookup(C187,merchants!$A$1:$D$41,3,FALSE),"Merchant not found"), "Merchant not found")</f>
        <v>grocery</v>
      </c>
      <c r="L187" s="8" t="str">
        <f>IFERROR(IFNA(vlookup(C187,merchants!$A$1:$D$41,4,FALSE),"Merchant not found"), "Merchant not found")</f>
        <v>North</v>
      </c>
      <c r="M187" s="8">
        <f>IFERROR(IFNA(hlookup(G187,payment_methods!$A$1:$E$2,2,FALSE),"Payment method not found"), "Payment method not found")</f>
        <v>0</v>
      </c>
      <c r="N187" s="8">
        <f t="shared" si="2"/>
        <v>148</v>
      </c>
      <c r="O187" s="8" t="str">
        <f t="shared" si="3"/>
        <v>Normal</v>
      </c>
    </row>
    <row r="188" ht="15.75" customHeight="1">
      <c r="A188" s="3" t="s">
        <v>305</v>
      </c>
      <c r="B188" s="5">
        <v>258.0</v>
      </c>
      <c r="C188" s="5">
        <v>15.0</v>
      </c>
      <c r="D188" s="9">
        <v>46041.14444444444</v>
      </c>
      <c r="E188" s="10">
        <f t="shared" si="1"/>
        <v>46041</v>
      </c>
      <c r="F188" s="5">
        <v>499.0</v>
      </c>
      <c r="G188" s="3" t="s">
        <v>15</v>
      </c>
      <c r="H188" s="3" t="s">
        <v>48</v>
      </c>
      <c r="I188" s="5">
        <v>78.0</v>
      </c>
      <c r="J188" s="8" t="str">
        <f>IFERROR(IFNA(vlookup(C188,merchants!$A$1:$D$41,2,FALSE),"Merchant not found"), "Merchant not found")</f>
        <v>Merchant_015</v>
      </c>
      <c r="K188" s="8" t="str">
        <f>IFERROR(IFNA(vlookup(C188,merchants!$A$1:$D$41,3,FALSE),"Merchant not found"), "Merchant not found")</f>
        <v>travel</v>
      </c>
      <c r="L188" s="8" t="str">
        <f>IFERROR(IFNA(vlookup(C188,merchants!$A$1:$D$41,4,FALSE),"Merchant not found"), "Merchant not found")</f>
        <v>North</v>
      </c>
      <c r="M188" s="8">
        <f>IFERROR(IFNA(hlookup(G188,payment_methods!$A$1:$E$2,2,FALSE),"Payment method not found"), "Payment method not found")</f>
        <v>0.0025</v>
      </c>
      <c r="N188" s="8">
        <f t="shared" si="2"/>
        <v>499</v>
      </c>
      <c r="O188" s="8" t="str">
        <f t="shared" si="3"/>
        <v>Normal</v>
      </c>
    </row>
    <row r="189" ht="15.75" customHeight="1">
      <c r="A189" s="3" t="s">
        <v>306</v>
      </c>
      <c r="B189" s="5">
        <v>338.0</v>
      </c>
      <c r="C189" s="5">
        <v>34.0</v>
      </c>
      <c r="D189" s="9">
        <v>46024.993055555555</v>
      </c>
      <c r="E189" s="10">
        <f t="shared" si="1"/>
        <v>46024</v>
      </c>
      <c r="F189" s="5">
        <v>49.0</v>
      </c>
      <c r="G189" s="3" t="s">
        <v>20</v>
      </c>
      <c r="H189" s="3" t="s">
        <v>48</v>
      </c>
      <c r="I189" s="5">
        <v>38.0</v>
      </c>
      <c r="J189" s="8" t="str">
        <f>IFERROR(IFNA(vlookup(C189,merchants!$A$1:$D$41,2,FALSE),"Merchant not found"), "Merchant not found")</f>
        <v>Merchant_034</v>
      </c>
      <c r="K189" s="8" t="str">
        <f>IFERROR(IFNA(vlookup(C189,merchants!$A$1:$D$41,3,FALSE),"Merchant not found"), "Merchant not found")</f>
        <v>travel</v>
      </c>
      <c r="L189" s="8" t="str">
        <f>IFERROR(IFNA(vlookup(C189,merchants!$A$1:$D$41,4,FALSE),"Merchant not found"), "Merchant not found")</f>
        <v>South</v>
      </c>
      <c r="M189" s="8">
        <f>IFERROR(IFNA(hlookup(G189,payment_methods!$A$1:$E$2,2,FALSE),"Payment method not found"), "Payment method not found")</f>
        <v>0</v>
      </c>
      <c r="N189" s="8">
        <f t="shared" si="2"/>
        <v>548</v>
      </c>
      <c r="O189" s="8" t="str">
        <f t="shared" si="3"/>
        <v>Normal</v>
      </c>
    </row>
    <row r="190" ht="15.75" customHeight="1">
      <c r="A190" s="3" t="s">
        <v>307</v>
      </c>
      <c r="B190" s="5">
        <v>32.0</v>
      </c>
      <c r="C190" s="5">
        <v>31.0</v>
      </c>
      <c r="D190" s="9">
        <v>46037.834027777775</v>
      </c>
      <c r="E190" s="10">
        <f t="shared" si="1"/>
        <v>46037</v>
      </c>
      <c r="F190" s="5">
        <v>299.0</v>
      </c>
      <c r="G190" s="3" t="s">
        <v>20</v>
      </c>
      <c r="H190" s="3" t="s">
        <v>48</v>
      </c>
      <c r="I190" s="5">
        <v>51.0</v>
      </c>
      <c r="J190" s="8" t="str">
        <f>IFERROR(IFNA(vlookup(C190,merchants!$A$1:$D$41,2,FALSE),"Merchant not found"), "Merchant not found")</f>
        <v>Merchant_031</v>
      </c>
      <c r="K190" s="8" t="str">
        <f>IFERROR(IFNA(vlookup(C190,merchants!$A$1:$D$41,3,FALSE),"Merchant not found"), "Merchant not found")</f>
        <v>bill_payment</v>
      </c>
      <c r="L190" s="8" t="str">
        <f>IFERROR(IFNA(vlookup(C190,merchants!$A$1:$D$41,4,FALSE),"Merchant not found"), "Merchant not found")</f>
        <v>East</v>
      </c>
      <c r="M190" s="8">
        <f>IFERROR(IFNA(hlookup(G190,payment_methods!$A$1:$E$2,2,FALSE),"Payment method not found"), "Payment method not found")</f>
        <v>0</v>
      </c>
      <c r="N190" s="8">
        <f t="shared" si="2"/>
        <v>299</v>
      </c>
      <c r="O190" s="8" t="str">
        <f t="shared" si="3"/>
        <v>Normal</v>
      </c>
    </row>
    <row r="191" ht="15.75" customHeight="1">
      <c r="A191" s="3" t="s">
        <v>308</v>
      </c>
      <c r="B191" s="5">
        <v>252.0</v>
      </c>
      <c r="C191" s="5">
        <v>29.0</v>
      </c>
      <c r="D191" s="9">
        <v>46036.879166666666</v>
      </c>
      <c r="E191" s="10">
        <f t="shared" si="1"/>
        <v>46036</v>
      </c>
      <c r="F191" s="5">
        <v>1499.0</v>
      </c>
      <c r="G191" s="3" t="s">
        <v>20</v>
      </c>
      <c r="H191" s="3" t="s">
        <v>48</v>
      </c>
      <c r="I191" s="5">
        <v>9.0</v>
      </c>
      <c r="J191" s="8" t="str">
        <f>IFERROR(IFNA(vlookup(C191,merchants!$A$1:$D$41,2,FALSE),"Merchant not found"), "Merchant not found")</f>
        <v>Merchant_029</v>
      </c>
      <c r="K191" s="8" t="str">
        <f>IFERROR(IFNA(vlookup(C191,merchants!$A$1:$D$41,3,FALSE),"Merchant not found"), "Merchant not found")</f>
        <v>ecommerce</v>
      </c>
      <c r="L191" s="8" t="str">
        <f>IFERROR(IFNA(vlookup(C191,merchants!$A$1:$D$41,4,FALSE),"Merchant not found"), "Merchant not found")</f>
        <v>North</v>
      </c>
      <c r="M191" s="8">
        <f>IFERROR(IFNA(hlookup(G191,payment_methods!$A$1:$E$2,2,FALSE),"Payment method not found"), "Payment method not found")</f>
        <v>0</v>
      </c>
      <c r="N191" s="8">
        <f t="shared" si="2"/>
        <v>1998</v>
      </c>
      <c r="O191" s="8" t="str">
        <f t="shared" si="3"/>
        <v>Normal</v>
      </c>
    </row>
    <row r="192" ht="15.75" customHeight="1">
      <c r="A192" s="3" t="s">
        <v>309</v>
      </c>
      <c r="B192" s="5">
        <v>312.0</v>
      </c>
      <c r="C192" s="5">
        <v>10.0</v>
      </c>
      <c r="D192" s="9">
        <v>46051.09722222222</v>
      </c>
      <c r="E192" s="10">
        <f t="shared" si="1"/>
        <v>46051</v>
      </c>
      <c r="F192" s="5">
        <v>799.0</v>
      </c>
      <c r="G192" s="3" t="s">
        <v>20</v>
      </c>
      <c r="H192" s="3" t="s">
        <v>48</v>
      </c>
      <c r="I192" s="5">
        <v>8.0</v>
      </c>
      <c r="J192" s="8" t="str">
        <f>IFERROR(IFNA(vlookup(C192,merchants!$A$1:$D$41,2,FALSE),"Merchant not found"), "Merchant not found")</f>
        <v>Merchant_010</v>
      </c>
      <c r="K192" s="8" t="str">
        <f>IFERROR(IFNA(vlookup(C192,merchants!$A$1:$D$41,3,FALSE),"Merchant not found"), "Merchant not found")</f>
        <v>grocery</v>
      </c>
      <c r="L192" s="8" t="str">
        <f>IFERROR(IFNA(vlookup(C192,merchants!$A$1:$D$41,4,FALSE),"Merchant not found"), "Merchant not found")</f>
        <v>West</v>
      </c>
      <c r="M192" s="8">
        <f>IFERROR(IFNA(hlookup(G192,payment_methods!$A$1:$E$2,2,FALSE),"Payment method not found"), "Payment method not found")</f>
        <v>0</v>
      </c>
      <c r="N192" s="8">
        <f t="shared" si="2"/>
        <v>799</v>
      </c>
      <c r="O192" s="8" t="str">
        <f t="shared" si="3"/>
        <v>Normal</v>
      </c>
    </row>
    <row r="193" ht="15.75" customHeight="1">
      <c r="A193" s="3" t="s">
        <v>310</v>
      </c>
      <c r="B193" s="5">
        <v>325.0</v>
      </c>
      <c r="C193" s="5">
        <v>38.0</v>
      </c>
      <c r="D193" s="9">
        <v>46027.36041666667</v>
      </c>
      <c r="E193" s="10">
        <f t="shared" si="1"/>
        <v>46027</v>
      </c>
      <c r="F193" s="5">
        <v>1499.0</v>
      </c>
      <c r="G193" s="3" t="s">
        <v>25</v>
      </c>
      <c r="H193" s="3" t="s">
        <v>48</v>
      </c>
      <c r="I193" s="5">
        <v>70.0</v>
      </c>
      <c r="J193" s="8" t="str">
        <f>IFERROR(IFNA(vlookup(C193,merchants!$A$1:$D$41,2,FALSE),"Merchant not found"), "Merchant not found")</f>
        <v>Merchant_038</v>
      </c>
      <c r="K193" s="8" t="str">
        <f>IFERROR(IFNA(vlookup(C193,merchants!$A$1:$D$41,3,FALSE),"Merchant not found"), "Merchant not found")</f>
        <v>grocery</v>
      </c>
      <c r="L193" s="8" t="str">
        <f>IFERROR(IFNA(vlookup(C193,merchants!$A$1:$D$41,4,FALSE),"Merchant not found"), "Merchant not found")</f>
        <v>East</v>
      </c>
      <c r="M193" s="8">
        <f>IFERROR(IFNA(hlookup(G193,payment_methods!$A$1:$E$2,2,FALSE),"Payment method not found"), "Payment method not found")</f>
        <v>0.005</v>
      </c>
      <c r="N193" s="8">
        <f t="shared" si="2"/>
        <v>1499</v>
      </c>
      <c r="O193" s="8" t="str">
        <f t="shared" si="3"/>
        <v>Normal</v>
      </c>
    </row>
    <row r="194" ht="15.75" customHeight="1">
      <c r="A194" s="3" t="s">
        <v>311</v>
      </c>
      <c r="B194" s="5">
        <v>306.0</v>
      </c>
      <c r="C194" s="5">
        <v>34.0</v>
      </c>
      <c r="D194" s="9">
        <v>46045.433333333334</v>
      </c>
      <c r="E194" s="10">
        <f t="shared" si="1"/>
        <v>46045</v>
      </c>
      <c r="F194" s="5">
        <v>2999.0</v>
      </c>
      <c r="G194" s="3" t="s">
        <v>20</v>
      </c>
      <c r="H194" s="3" t="s">
        <v>48</v>
      </c>
      <c r="I194" s="5">
        <v>37.0</v>
      </c>
      <c r="J194" s="8" t="str">
        <f>IFERROR(IFNA(vlookup(C194,merchants!$A$1:$D$41,2,FALSE),"Merchant not found"), "Merchant not found")</f>
        <v>Merchant_034</v>
      </c>
      <c r="K194" s="8" t="str">
        <f>IFERROR(IFNA(vlookup(C194,merchants!$A$1:$D$41,3,FALSE),"Merchant not found"), "Merchant not found")</f>
        <v>travel</v>
      </c>
      <c r="L194" s="8" t="str">
        <f>IFERROR(IFNA(vlookup(C194,merchants!$A$1:$D$41,4,FALSE),"Merchant not found"), "Merchant not found")</f>
        <v>South</v>
      </c>
      <c r="M194" s="8">
        <f>IFERROR(IFNA(hlookup(G194,payment_methods!$A$1:$E$2,2,FALSE),"Payment method not found"), "Payment method not found")</f>
        <v>0</v>
      </c>
      <c r="N194" s="8">
        <f t="shared" si="2"/>
        <v>3148</v>
      </c>
      <c r="O194" s="8" t="str">
        <f t="shared" si="3"/>
        <v>Normal</v>
      </c>
    </row>
    <row r="195" ht="15.75" customHeight="1">
      <c r="A195" s="3" t="s">
        <v>312</v>
      </c>
      <c r="B195" s="5">
        <v>221.0</v>
      </c>
      <c r="C195" s="5">
        <v>7.0</v>
      </c>
      <c r="D195" s="9">
        <v>46037.69305555556</v>
      </c>
      <c r="E195" s="10">
        <f t="shared" si="1"/>
        <v>46037</v>
      </c>
      <c r="F195" s="5">
        <v>149.0</v>
      </c>
      <c r="G195" s="3" t="s">
        <v>25</v>
      </c>
      <c r="H195" s="3" t="s">
        <v>48</v>
      </c>
      <c r="I195" s="5">
        <v>89.0</v>
      </c>
      <c r="J195" s="8" t="str">
        <f>IFERROR(IFNA(vlookup(C195,merchants!$A$1:$D$41,2,FALSE),"Merchant not found"), "Merchant not found")</f>
        <v>Merchant_007</v>
      </c>
      <c r="K195" s="8" t="str">
        <f>IFERROR(IFNA(vlookup(C195,merchants!$A$1:$D$41,3,FALSE),"Merchant not found"), "Merchant not found")</f>
        <v>food_delivery</v>
      </c>
      <c r="L195" s="8" t="str">
        <f>IFERROR(IFNA(vlookup(C195,merchants!$A$1:$D$41,4,FALSE),"Merchant not found"), "Merchant not found")</f>
        <v>East</v>
      </c>
      <c r="M195" s="8">
        <f>IFERROR(IFNA(hlookup(G195,payment_methods!$A$1:$E$2,2,FALSE),"Payment method not found"), "Payment method not found")</f>
        <v>0.005</v>
      </c>
      <c r="N195" s="8">
        <f t="shared" si="2"/>
        <v>1648</v>
      </c>
      <c r="O195" s="8" t="str">
        <f t="shared" si="3"/>
        <v>Normal</v>
      </c>
    </row>
    <row r="196" ht="15.75" customHeight="1">
      <c r="A196" s="3" t="s">
        <v>313</v>
      </c>
      <c r="B196" s="5">
        <v>283.0</v>
      </c>
      <c r="C196" s="5">
        <v>14.0</v>
      </c>
      <c r="D196" s="9">
        <v>46026.861805555556</v>
      </c>
      <c r="E196" s="10">
        <f t="shared" si="1"/>
        <v>46026</v>
      </c>
      <c r="F196" s="5">
        <v>99.0</v>
      </c>
      <c r="G196" s="3" t="s">
        <v>15</v>
      </c>
      <c r="H196" s="3" t="s">
        <v>48</v>
      </c>
      <c r="I196" s="5">
        <v>55.0</v>
      </c>
      <c r="J196" s="8" t="str">
        <f>IFERROR(IFNA(vlookup(C196,merchants!$A$1:$D$41,2,FALSE),"Merchant not found"), "Merchant not found")</f>
        <v>Merchant_014</v>
      </c>
      <c r="K196" s="8" t="str">
        <f>IFERROR(IFNA(vlookup(C196,merchants!$A$1:$D$41,3,FALSE),"Merchant not found"), "Merchant not found")</f>
        <v>grocery</v>
      </c>
      <c r="L196" s="8" t="str">
        <f>IFERROR(IFNA(vlookup(C196,merchants!$A$1:$D$41,4,FALSE),"Merchant not found"), "Merchant not found")</f>
        <v>East</v>
      </c>
      <c r="M196" s="8">
        <f>IFERROR(IFNA(hlookup(G196,payment_methods!$A$1:$E$2,2,FALSE),"Payment method not found"), "Payment method not found")</f>
        <v>0.0025</v>
      </c>
      <c r="N196" s="8">
        <f t="shared" si="2"/>
        <v>99</v>
      </c>
      <c r="O196" s="8" t="str">
        <f t="shared" si="3"/>
        <v>Normal</v>
      </c>
    </row>
    <row r="197" ht="15.75" customHeight="1">
      <c r="A197" s="3" t="s">
        <v>314</v>
      </c>
      <c r="B197" s="5">
        <v>174.0</v>
      </c>
      <c r="C197" s="5">
        <v>30.0</v>
      </c>
      <c r="D197" s="9">
        <v>46037.30972222222</v>
      </c>
      <c r="E197" s="10">
        <f t="shared" si="1"/>
        <v>46037</v>
      </c>
      <c r="F197" s="5">
        <v>49.0</v>
      </c>
      <c r="G197" s="3" t="s">
        <v>20</v>
      </c>
      <c r="H197" s="3" t="s">
        <v>48</v>
      </c>
      <c r="I197" s="5">
        <v>51.0</v>
      </c>
      <c r="J197" s="8" t="str">
        <f>IFERROR(IFNA(vlookup(C197,merchants!$A$1:$D$41,2,FALSE),"Merchant not found"), "Merchant not found")</f>
        <v>Merchant_030</v>
      </c>
      <c r="K197" s="8" t="str">
        <f>IFERROR(IFNA(vlookup(C197,merchants!$A$1:$D$41,3,FALSE),"Merchant not found"), "Merchant not found")</f>
        <v>travel</v>
      </c>
      <c r="L197" s="8" t="str">
        <f>IFERROR(IFNA(vlookup(C197,merchants!$A$1:$D$41,4,FALSE),"Merchant not found"), "Merchant not found")</f>
        <v>West</v>
      </c>
      <c r="M197" s="8">
        <f>IFERROR(IFNA(hlookup(G197,payment_methods!$A$1:$E$2,2,FALSE),"Payment method not found"), "Payment method not found")</f>
        <v>0</v>
      </c>
      <c r="N197" s="8">
        <f t="shared" si="2"/>
        <v>49</v>
      </c>
      <c r="O197" s="8" t="str">
        <f t="shared" si="3"/>
        <v>Normal</v>
      </c>
    </row>
    <row r="198" ht="15.75" customHeight="1">
      <c r="A198" s="3" t="s">
        <v>315</v>
      </c>
      <c r="B198" s="5">
        <v>161.0</v>
      </c>
      <c r="C198" s="5">
        <v>28.0</v>
      </c>
      <c r="D198" s="9">
        <v>46036.9625</v>
      </c>
      <c r="E198" s="10">
        <f t="shared" si="1"/>
        <v>46036</v>
      </c>
      <c r="F198" s="5">
        <v>49.0</v>
      </c>
      <c r="G198" s="3" t="s">
        <v>20</v>
      </c>
      <c r="H198" s="3" t="s">
        <v>48</v>
      </c>
      <c r="I198" s="5">
        <v>40.0</v>
      </c>
      <c r="J198" s="8" t="str">
        <f>IFERROR(IFNA(vlookup(C198,merchants!$A$1:$D$41,2,FALSE),"Merchant not found"), "Merchant not found")</f>
        <v>Merchant_028</v>
      </c>
      <c r="K198" s="8" t="str">
        <f>IFERROR(IFNA(vlookup(C198,merchants!$A$1:$D$41,3,FALSE),"Merchant not found"), "Merchant not found")</f>
        <v>ecommerce</v>
      </c>
      <c r="L198" s="8" t="str">
        <f>IFERROR(IFNA(vlookup(C198,merchants!$A$1:$D$41,4,FALSE),"Merchant not found"), "Merchant not found")</f>
        <v>South</v>
      </c>
      <c r="M198" s="8">
        <f>IFERROR(IFNA(hlookup(G198,payment_methods!$A$1:$E$2,2,FALSE),"Payment method not found"), "Payment method not found")</f>
        <v>0</v>
      </c>
      <c r="N198" s="8">
        <f t="shared" si="2"/>
        <v>49</v>
      </c>
      <c r="O198" s="8" t="str">
        <f t="shared" si="3"/>
        <v>Normal</v>
      </c>
    </row>
    <row r="199" ht="15.75" customHeight="1">
      <c r="A199" s="3" t="s">
        <v>316</v>
      </c>
      <c r="B199" s="5">
        <v>79.0</v>
      </c>
      <c r="C199" s="5">
        <v>31.0</v>
      </c>
      <c r="D199" s="9">
        <v>46044.34930555556</v>
      </c>
      <c r="E199" s="10">
        <f t="shared" si="1"/>
        <v>46044</v>
      </c>
      <c r="F199" s="5">
        <v>99.0</v>
      </c>
      <c r="G199" s="3" t="s">
        <v>20</v>
      </c>
      <c r="H199" s="3" t="s">
        <v>48</v>
      </c>
      <c r="I199" s="5">
        <v>8.0</v>
      </c>
      <c r="J199" s="8" t="str">
        <f>IFERROR(IFNA(vlookup(C199,merchants!$A$1:$D$41,2,FALSE),"Merchant not found"), "Merchant not found")</f>
        <v>Merchant_031</v>
      </c>
      <c r="K199" s="8" t="str">
        <f>IFERROR(IFNA(vlookup(C199,merchants!$A$1:$D$41,3,FALSE),"Merchant not found"), "Merchant not found")</f>
        <v>bill_payment</v>
      </c>
      <c r="L199" s="8" t="str">
        <f>IFERROR(IFNA(vlookup(C199,merchants!$A$1:$D$41,4,FALSE),"Merchant not found"), "Merchant not found")</f>
        <v>East</v>
      </c>
      <c r="M199" s="8">
        <f>IFERROR(IFNA(hlookup(G199,payment_methods!$A$1:$E$2,2,FALSE),"Payment method not found"), "Payment method not found")</f>
        <v>0</v>
      </c>
      <c r="N199" s="8">
        <f t="shared" si="2"/>
        <v>99</v>
      </c>
      <c r="O199" s="8" t="str">
        <f t="shared" si="3"/>
        <v>Normal</v>
      </c>
    </row>
    <row r="200" ht="15.75" customHeight="1">
      <c r="A200" s="3" t="s">
        <v>317</v>
      </c>
      <c r="B200" s="5">
        <v>222.0</v>
      </c>
      <c r="C200" s="5">
        <v>7.0</v>
      </c>
      <c r="D200" s="9">
        <v>46025.086805555555</v>
      </c>
      <c r="E200" s="10">
        <f t="shared" si="1"/>
        <v>46025</v>
      </c>
      <c r="F200" s="5">
        <v>149.0</v>
      </c>
      <c r="G200" s="3" t="s">
        <v>15</v>
      </c>
      <c r="H200" s="3" t="s">
        <v>48</v>
      </c>
      <c r="I200" s="5">
        <v>95.0</v>
      </c>
      <c r="J200" s="8" t="str">
        <f>IFERROR(IFNA(vlookup(C200,merchants!$A$1:$D$41,2,FALSE),"Merchant not found"), "Merchant not found")</f>
        <v>Merchant_007</v>
      </c>
      <c r="K200" s="8" t="str">
        <f>IFERROR(IFNA(vlookup(C200,merchants!$A$1:$D$41,3,FALSE),"Merchant not found"), "Merchant not found")</f>
        <v>food_delivery</v>
      </c>
      <c r="L200" s="8" t="str">
        <f>IFERROR(IFNA(vlookup(C200,merchants!$A$1:$D$41,4,FALSE),"Merchant not found"), "Merchant not found")</f>
        <v>East</v>
      </c>
      <c r="M200" s="8">
        <f>IFERROR(IFNA(hlookup(G200,payment_methods!$A$1:$E$2,2,FALSE),"Payment method not found"), "Payment method not found")</f>
        <v>0.0025</v>
      </c>
      <c r="N200" s="8">
        <f t="shared" si="2"/>
        <v>149</v>
      </c>
      <c r="O200" s="8" t="str">
        <f t="shared" si="3"/>
        <v>Normal</v>
      </c>
    </row>
    <row r="201" ht="15.75" customHeight="1">
      <c r="A201" s="3" t="s">
        <v>318</v>
      </c>
      <c r="B201" s="5">
        <v>67.0</v>
      </c>
      <c r="C201" s="5">
        <v>36.0</v>
      </c>
      <c r="D201" s="9">
        <v>46046.49375</v>
      </c>
      <c r="E201" s="10">
        <f t="shared" si="1"/>
        <v>46046</v>
      </c>
      <c r="F201" s="5">
        <v>99.0</v>
      </c>
      <c r="G201" s="3" t="s">
        <v>20</v>
      </c>
      <c r="H201" s="3" t="s">
        <v>48</v>
      </c>
      <c r="I201" s="5">
        <v>7.0</v>
      </c>
      <c r="J201" s="8" t="str">
        <f>IFERROR(IFNA(vlookup(C201,merchants!$A$1:$D$41,2,FALSE),"Merchant not found"), "Merchant not found")</f>
        <v>Merchant_036</v>
      </c>
      <c r="K201" s="8" t="str">
        <f>IFERROR(IFNA(vlookup(C201,merchants!$A$1:$D$41,3,FALSE),"Merchant not found"), "Merchant not found")</f>
        <v>entertainment</v>
      </c>
      <c r="L201" s="8" t="str">
        <f>IFERROR(IFNA(vlookup(C201,merchants!$A$1:$D$41,4,FALSE),"Merchant not found"), "Merchant not found")</f>
        <v>East</v>
      </c>
      <c r="M201" s="8">
        <f>IFERROR(IFNA(hlookup(G201,payment_methods!$A$1:$E$2,2,FALSE),"Payment method not found"), "Payment method not found")</f>
        <v>0</v>
      </c>
      <c r="N201" s="8">
        <f t="shared" si="2"/>
        <v>1647</v>
      </c>
      <c r="O201" s="8" t="str">
        <f t="shared" si="3"/>
        <v>Normal</v>
      </c>
    </row>
    <row r="202" ht="15.75" customHeight="1">
      <c r="A202" s="3" t="s">
        <v>319</v>
      </c>
      <c r="B202" s="5">
        <v>169.0</v>
      </c>
      <c r="C202" s="5">
        <v>8.0</v>
      </c>
      <c r="D202" s="9">
        <v>46041.73263888889</v>
      </c>
      <c r="E202" s="10">
        <f t="shared" si="1"/>
        <v>46041</v>
      </c>
      <c r="F202" s="5">
        <v>99.0</v>
      </c>
      <c r="G202" s="3" t="s">
        <v>20</v>
      </c>
      <c r="H202" s="3" t="s">
        <v>48</v>
      </c>
      <c r="I202" s="5">
        <v>52.0</v>
      </c>
      <c r="J202" s="8" t="str">
        <f>IFERROR(IFNA(vlookup(C202,merchants!$A$1:$D$41,2,FALSE),"Merchant not found"), "Merchant not found")</f>
        <v>Merchant_008</v>
      </c>
      <c r="K202" s="8" t="str">
        <f>IFERROR(IFNA(vlookup(C202,merchants!$A$1:$D$41,3,FALSE),"Merchant not found"), "Merchant not found")</f>
        <v>food_delivery</v>
      </c>
      <c r="L202" s="8" t="str">
        <f>IFERROR(IFNA(vlookup(C202,merchants!$A$1:$D$41,4,FALSE),"Merchant not found"), "Merchant not found")</f>
        <v>North</v>
      </c>
      <c r="M202" s="8">
        <f>IFERROR(IFNA(hlookup(G202,payment_methods!$A$1:$E$2,2,FALSE),"Payment method not found"), "Payment method not found")</f>
        <v>0</v>
      </c>
      <c r="N202" s="8">
        <f t="shared" si="2"/>
        <v>99</v>
      </c>
      <c r="O202" s="8" t="str">
        <f t="shared" si="3"/>
        <v>Normal</v>
      </c>
    </row>
    <row r="203" ht="15.75" customHeight="1">
      <c r="A203" s="3" t="s">
        <v>320</v>
      </c>
      <c r="B203" s="5">
        <v>217.0</v>
      </c>
      <c r="C203" s="5">
        <v>4.0</v>
      </c>
      <c r="D203" s="9">
        <v>46034.90833333333</v>
      </c>
      <c r="E203" s="10">
        <f t="shared" si="1"/>
        <v>46034</v>
      </c>
      <c r="F203" s="5">
        <v>49.0</v>
      </c>
      <c r="G203" s="3" t="s">
        <v>20</v>
      </c>
      <c r="H203" s="3" t="s">
        <v>48</v>
      </c>
      <c r="I203" s="5">
        <v>36.0</v>
      </c>
      <c r="J203" s="8" t="str">
        <f>IFERROR(IFNA(vlookup(C203,merchants!$A$1:$D$41,2,FALSE),"Merchant not found"), "Merchant not found")</f>
        <v>Merchant_004</v>
      </c>
      <c r="K203" s="8" t="str">
        <f>IFERROR(IFNA(vlookup(C203,merchants!$A$1:$D$41,3,FALSE),"Merchant not found"), "Merchant not found")</f>
        <v>ecommerce</v>
      </c>
      <c r="L203" s="8" t="str">
        <f>IFERROR(IFNA(vlookup(C203,merchants!$A$1:$D$41,4,FALSE),"Merchant not found"), "Merchant not found")</f>
        <v>East</v>
      </c>
      <c r="M203" s="8">
        <f>IFERROR(IFNA(hlookup(G203,payment_methods!$A$1:$E$2,2,FALSE),"Payment method not found"), "Payment method not found")</f>
        <v>0</v>
      </c>
      <c r="N203" s="8">
        <f t="shared" si="2"/>
        <v>49</v>
      </c>
      <c r="O203" s="8" t="str">
        <f t="shared" si="3"/>
        <v>Normal</v>
      </c>
    </row>
    <row r="204" ht="15.75" customHeight="1">
      <c r="A204" s="3" t="s">
        <v>321</v>
      </c>
      <c r="B204" s="5">
        <v>54.0</v>
      </c>
      <c r="C204" s="5">
        <v>37.0</v>
      </c>
      <c r="D204" s="9">
        <v>46042.39027777778</v>
      </c>
      <c r="E204" s="10">
        <f t="shared" si="1"/>
        <v>46042</v>
      </c>
      <c r="F204" s="5">
        <v>149.0</v>
      </c>
      <c r="G204" s="3" t="s">
        <v>20</v>
      </c>
      <c r="H204" s="3" t="s">
        <v>48</v>
      </c>
      <c r="I204" s="5">
        <v>64.0</v>
      </c>
      <c r="J204" s="8" t="str">
        <f>IFERROR(IFNA(vlookup(C204,merchants!$A$1:$D$41,2,FALSE),"Merchant not found"), "Merchant not found")</f>
        <v>Merchant_037</v>
      </c>
      <c r="K204" s="8" t="str">
        <f>IFERROR(IFNA(vlookup(C204,merchants!$A$1:$D$41,3,FALSE),"Merchant not found"), "Merchant not found")</f>
        <v>entertainment</v>
      </c>
      <c r="L204" s="8" t="str">
        <f>IFERROR(IFNA(vlookup(C204,merchants!$A$1:$D$41,4,FALSE),"Merchant not found"), "Merchant not found")</f>
        <v>South</v>
      </c>
      <c r="M204" s="8">
        <f>IFERROR(IFNA(hlookup(G204,payment_methods!$A$1:$E$2,2,FALSE),"Payment method not found"), "Payment method not found")</f>
        <v>0</v>
      </c>
      <c r="N204" s="8">
        <f t="shared" si="2"/>
        <v>149</v>
      </c>
      <c r="O204" s="8" t="str">
        <f t="shared" si="3"/>
        <v>Normal</v>
      </c>
    </row>
    <row r="205" ht="15.75" customHeight="1">
      <c r="A205" s="3" t="s">
        <v>322</v>
      </c>
      <c r="B205" s="5">
        <v>247.0</v>
      </c>
      <c r="C205" s="5">
        <v>15.0</v>
      </c>
      <c r="D205" s="9">
        <v>46029.19583333333</v>
      </c>
      <c r="E205" s="10">
        <f t="shared" si="1"/>
        <v>46029</v>
      </c>
      <c r="F205" s="5">
        <v>49.0</v>
      </c>
      <c r="G205" s="3" t="s">
        <v>22</v>
      </c>
      <c r="H205" s="3" t="s">
        <v>48</v>
      </c>
      <c r="I205" s="5">
        <v>13.0</v>
      </c>
      <c r="J205" s="8" t="str">
        <f>IFERROR(IFNA(vlookup(C205,merchants!$A$1:$D$41,2,FALSE),"Merchant not found"), "Merchant not found")</f>
        <v>Merchant_015</v>
      </c>
      <c r="K205" s="8" t="str">
        <f>IFERROR(IFNA(vlookup(C205,merchants!$A$1:$D$41,3,FALSE),"Merchant not found"), "Merchant not found")</f>
        <v>travel</v>
      </c>
      <c r="L205" s="8" t="str">
        <f>IFERROR(IFNA(vlookup(C205,merchants!$A$1:$D$41,4,FALSE),"Merchant not found"), "Merchant not found")</f>
        <v>North</v>
      </c>
      <c r="M205" s="8">
        <f>IFERROR(IFNA(hlookup(G205,payment_methods!$A$1:$E$2,2,FALSE),"Payment method not found"), "Payment method not found")</f>
        <v>0.01</v>
      </c>
      <c r="N205" s="8">
        <f t="shared" si="2"/>
        <v>49</v>
      </c>
      <c r="O205" s="8" t="str">
        <f t="shared" si="3"/>
        <v>Normal</v>
      </c>
    </row>
    <row r="206" ht="15.75" customHeight="1">
      <c r="A206" s="3" t="s">
        <v>323</v>
      </c>
      <c r="B206" s="5">
        <v>59.0</v>
      </c>
      <c r="C206" s="5">
        <v>18.0</v>
      </c>
      <c r="D206" s="9">
        <v>46034.72430555556</v>
      </c>
      <c r="E206" s="10">
        <f t="shared" si="1"/>
        <v>46034</v>
      </c>
      <c r="F206" s="5">
        <v>49.0</v>
      </c>
      <c r="G206" s="3" t="s">
        <v>22</v>
      </c>
      <c r="H206" s="3" t="s">
        <v>48</v>
      </c>
      <c r="I206" s="5">
        <v>73.0</v>
      </c>
      <c r="J206" s="8" t="str">
        <f>IFERROR(IFNA(vlookup(C206,merchants!$A$1:$D$41,2,FALSE),"Merchant not found"), "Merchant not found")</f>
        <v>Merchant_018</v>
      </c>
      <c r="K206" s="8" t="str">
        <f>IFERROR(IFNA(vlookup(C206,merchants!$A$1:$D$41,3,FALSE),"Merchant not found"), "Merchant not found")</f>
        <v>grocery</v>
      </c>
      <c r="L206" s="8" t="str">
        <f>IFERROR(IFNA(vlookup(C206,merchants!$A$1:$D$41,4,FALSE),"Merchant not found"), "Merchant not found")</f>
        <v>West</v>
      </c>
      <c r="M206" s="8">
        <f>IFERROR(IFNA(hlookup(G206,payment_methods!$A$1:$E$2,2,FALSE),"Payment method not found"), "Payment method not found")</f>
        <v>0.01</v>
      </c>
      <c r="N206" s="8">
        <f t="shared" si="2"/>
        <v>49</v>
      </c>
      <c r="O206" s="8" t="str">
        <f t="shared" si="3"/>
        <v>Normal</v>
      </c>
    </row>
    <row r="207" ht="15.75" customHeight="1">
      <c r="A207" s="3" t="s">
        <v>324</v>
      </c>
      <c r="B207" s="5">
        <v>288.0</v>
      </c>
      <c r="C207" s="5">
        <v>40.0</v>
      </c>
      <c r="D207" s="9">
        <v>46030.57916666667</v>
      </c>
      <c r="E207" s="10">
        <f t="shared" si="1"/>
        <v>46030</v>
      </c>
      <c r="F207" s="5">
        <v>49.0</v>
      </c>
      <c r="G207" s="3" t="s">
        <v>20</v>
      </c>
      <c r="H207" s="3" t="s">
        <v>78</v>
      </c>
      <c r="I207" s="5">
        <v>78.0</v>
      </c>
      <c r="J207" s="8" t="str">
        <f>IFERROR(IFNA(vlookup(C207,merchants!$A$1:$D$41,2,FALSE),"Merchant not found"), "Merchant not found")</f>
        <v>Merchant_040</v>
      </c>
      <c r="K207" s="8" t="str">
        <f>IFERROR(IFNA(vlookup(C207,merchants!$A$1:$D$41,3,FALSE),"Merchant not found"), "Merchant not found")</f>
        <v>entertainment</v>
      </c>
      <c r="L207" s="8" t="str">
        <f>IFERROR(IFNA(vlookup(C207,merchants!$A$1:$D$41,4,FALSE),"Merchant not found"), "Merchant not found")</f>
        <v>South</v>
      </c>
      <c r="M207" s="8">
        <f>IFERROR(IFNA(hlookup(G207,payment_methods!$A$1:$E$2,2,FALSE),"Payment method not found"), "Payment method not found")</f>
        <v>0</v>
      </c>
      <c r="N207" s="8">
        <f t="shared" si="2"/>
        <v>49</v>
      </c>
      <c r="O207" s="8" t="str">
        <f t="shared" si="3"/>
        <v>Normal</v>
      </c>
    </row>
    <row r="208" ht="15.75" customHeight="1">
      <c r="A208" s="3" t="s">
        <v>325</v>
      </c>
      <c r="B208" s="5">
        <v>14.0</v>
      </c>
      <c r="C208" s="5">
        <v>39.0</v>
      </c>
      <c r="D208" s="9">
        <v>46044.85763888889</v>
      </c>
      <c r="E208" s="10">
        <f t="shared" si="1"/>
        <v>46044</v>
      </c>
      <c r="F208" s="5">
        <v>799.0</v>
      </c>
      <c r="G208" s="3" t="s">
        <v>20</v>
      </c>
      <c r="H208" s="3" t="s">
        <v>48</v>
      </c>
      <c r="I208" s="5">
        <v>84.0</v>
      </c>
      <c r="J208" s="8" t="str">
        <f>IFERROR(IFNA(vlookup(C208,merchants!$A$1:$D$41,2,FALSE),"Merchant not found"), "Merchant not found")</f>
        <v>Merchant_039</v>
      </c>
      <c r="K208" s="8" t="str">
        <f>IFERROR(IFNA(vlookup(C208,merchants!$A$1:$D$41,3,FALSE),"Merchant not found"), "Merchant not found")</f>
        <v>entertainment</v>
      </c>
      <c r="L208" s="8" t="str">
        <f>IFERROR(IFNA(vlookup(C208,merchants!$A$1:$D$41,4,FALSE),"Merchant not found"), "Merchant not found")</f>
        <v>North</v>
      </c>
      <c r="M208" s="8">
        <f>IFERROR(IFNA(hlookup(G208,payment_methods!$A$1:$E$2,2,FALSE),"Payment method not found"), "Payment method not found")</f>
        <v>0</v>
      </c>
      <c r="N208" s="8">
        <f t="shared" si="2"/>
        <v>9796</v>
      </c>
      <c r="O208" s="8" t="str">
        <f t="shared" si="3"/>
        <v>High-Value Merchant Day</v>
      </c>
    </row>
    <row r="209" ht="15.75" customHeight="1">
      <c r="A209" s="3" t="s">
        <v>326</v>
      </c>
      <c r="B209" s="5">
        <v>15.0</v>
      </c>
      <c r="C209" s="5">
        <v>12.0</v>
      </c>
      <c r="D209" s="9">
        <v>46049.92847222222</v>
      </c>
      <c r="E209" s="10">
        <f t="shared" si="1"/>
        <v>46049</v>
      </c>
      <c r="F209" s="5">
        <v>149.0</v>
      </c>
      <c r="G209" s="3" t="s">
        <v>20</v>
      </c>
      <c r="H209" s="3" t="s">
        <v>48</v>
      </c>
      <c r="I209" s="5">
        <v>34.0</v>
      </c>
      <c r="J209" s="8" t="str">
        <f>IFERROR(IFNA(vlookup(C209,merchants!$A$1:$D$41,2,FALSE),"Merchant not found"), "Merchant not found")</f>
        <v>Merchant_012</v>
      </c>
      <c r="K209" s="8" t="str">
        <f>IFERROR(IFNA(vlookup(C209,merchants!$A$1:$D$41,3,FALSE),"Merchant not found"), "Merchant not found")</f>
        <v>ecommerce</v>
      </c>
      <c r="L209" s="8" t="str">
        <f>IFERROR(IFNA(vlookup(C209,merchants!$A$1:$D$41,4,FALSE),"Merchant not found"), "Merchant not found")</f>
        <v>East</v>
      </c>
      <c r="M209" s="8">
        <f>IFERROR(IFNA(hlookup(G209,payment_methods!$A$1:$E$2,2,FALSE),"Payment method not found"), "Payment method not found")</f>
        <v>0</v>
      </c>
      <c r="N209" s="8">
        <f t="shared" si="2"/>
        <v>149</v>
      </c>
      <c r="O209" s="8" t="str">
        <f t="shared" si="3"/>
        <v>Normal</v>
      </c>
    </row>
    <row r="210" ht="15.75" customHeight="1">
      <c r="A210" s="3" t="s">
        <v>327</v>
      </c>
      <c r="B210" s="5">
        <v>174.0</v>
      </c>
      <c r="C210" s="5">
        <v>23.0</v>
      </c>
      <c r="D210" s="9">
        <v>46045.41527777778</v>
      </c>
      <c r="E210" s="10">
        <f t="shared" si="1"/>
        <v>46045</v>
      </c>
      <c r="F210" s="5">
        <v>149.0</v>
      </c>
      <c r="G210" s="3" t="s">
        <v>20</v>
      </c>
      <c r="H210" s="3" t="s">
        <v>48</v>
      </c>
      <c r="I210" s="5">
        <v>0.0</v>
      </c>
      <c r="J210" s="8" t="str">
        <f>IFERROR(IFNA(vlookup(C210,merchants!$A$1:$D$41,2,FALSE),"Merchant not found"), "Merchant not found")</f>
        <v>Merchant_023</v>
      </c>
      <c r="K210" s="8" t="str">
        <f>IFERROR(IFNA(vlookup(C210,merchants!$A$1:$D$41,3,FALSE),"Merchant not found"), "Merchant not found")</f>
        <v>travel</v>
      </c>
      <c r="L210" s="8" t="str">
        <f>IFERROR(IFNA(vlookup(C210,merchants!$A$1:$D$41,4,FALSE),"Merchant not found"), "Merchant not found")</f>
        <v>North</v>
      </c>
      <c r="M210" s="8">
        <f>IFERROR(IFNA(hlookup(G210,payment_methods!$A$1:$E$2,2,FALSE),"Payment method not found"), "Payment method not found")</f>
        <v>0</v>
      </c>
      <c r="N210" s="8">
        <f t="shared" si="2"/>
        <v>247</v>
      </c>
      <c r="O210" s="8" t="str">
        <f t="shared" si="3"/>
        <v>Normal</v>
      </c>
    </row>
    <row r="211" ht="15.75" customHeight="1">
      <c r="A211" s="3" t="s">
        <v>328</v>
      </c>
      <c r="B211" s="5">
        <v>337.0</v>
      </c>
      <c r="C211" s="5">
        <v>26.0</v>
      </c>
      <c r="D211" s="9">
        <v>46028.191666666666</v>
      </c>
      <c r="E211" s="10">
        <f t="shared" si="1"/>
        <v>46028</v>
      </c>
      <c r="F211" s="5">
        <v>49.0</v>
      </c>
      <c r="G211" s="3" t="s">
        <v>20</v>
      </c>
      <c r="H211" s="3" t="s">
        <v>48</v>
      </c>
      <c r="I211" s="5">
        <v>8.0</v>
      </c>
      <c r="J211" s="8" t="str">
        <f>IFERROR(IFNA(vlookup(C211,merchants!$A$1:$D$41,2,FALSE),"Merchant not found"), "Merchant not found")</f>
        <v>Merchant_026</v>
      </c>
      <c r="K211" s="8" t="str">
        <f>IFERROR(IFNA(vlookup(C211,merchants!$A$1:$D$41,3,FALSE),"Merchant not found"), "Merchant not found")</f>
        <v>food_delivery</v>
      </c>
      <c r="L211" s="8" t="str">
        <f>IFERROR(IFNA(vlookup(C211,merchants!$A$1:$D$41,4,FALSE),"Merchant not found"), "Merchant not found")</f>
        <v>East</v>
      </c>
      <c r="M211" s="8">
        <f>IFERROR(IFNA(hlookup(G211,payment_methods!$A$1:$E$2,2,FALSE),"Payment method not found"), "Payment method not found")</f>
        <v>0</v>
      </c>
      <c r="N211" s="8">
        <f t="shared" si="2"/>
        <v>49</v>
      </c>
      <c r="O211" s="8" t="str">
        <f t="shared" si="3"/>
        <v>Normal</v>
      </c>
    </row>
    <row r="212" ht="15.75" customHeight="1">
      <c r="A212" s="3" t="s">
        <v>329</v>
      </c>
      <c r="B212" s="5">
        <v>16.0</v>
      </c>
      <c r="C212" s="5">
        <v>6.0</v>
      </c>
      <c r="D212" s="9">
        <v>46027.98611111111</v>
      </c>
      <c r="E212" s="10">
        <f t="shared" si="1"/>
        <v>46027</v>
      </c>
      <c r="F212" s="5">
        <v>1499.0</v>
      </c>
      <c r="G212" s="3" t="s">
        <v>20</v>
      </c>
      <c r="H212" s="3" t="s">
        <v>48</v>
      </c>
      <c r="I212" s="5">
        <v>95.0</v>
      </c>
      <c r="J212" s="8" t="str">
        <f>IFERROR(IFNA(vlookup(C212,merchants!$A$1:$D$41,2,FALSE),"Merchant not found"), "Merchant not found")</f>
        <v>Merchant_006</v>
      </c>
      <c r="K212" s="8" t="str">
        <f>IFERROR(IFNA(vlookup(C212,merchants!$A$1:$D$41,3,FALSE),"Merchant not found"), "Merchant not found")</f>
        <v>food_delivery</v>
      </c>
      <c r="L212" s="8" t="str">
        <f>IFERROR(IFNA(vlookup(C212,merchants!$A$1:$D$41,4,FALSE),"Merchant not found"), "Merchant not found")</f>
        <v>South</v>
      </c>
      <c r="M212" s="8">
        <f>IFERROR(IFNA(hlookup(G212,payment_methods!$A$1:$E$2,2,FALSE),"Payment method not found"), "Payment method not found")</f>
        <v>0</v>
      </c>
      <c r="N212" s="8">
        <f t="shared" si="2"/>
        <v>1499</v>
      </c>
      <c r="O212" s="8" t="str">
        <f t="shared" si="3"/>
        <v>Normal</v>
      </c>
    </row>
    <row r="213" ht="15.75" customHeight="1">
      <c r="A213" s="3" t="s">
        <v>330</v>
      </c>
      <c r="B213" s="5">
        <v>215.0</v>
      </c>
      <c r="C213" s="5">
        <v>30.0</v>
      </c>
      <c r="D213" s="9">
        <v>46039.26666666667</v>
      </c>
      <c r="E213" s="10">
        <f t="shared" si="1"/>
        <v>46039</v>
      </c>
      <c r="F213" s="5">
        <v>49.0</v>
      </c>
      <c r="G213" s="3" t="s">
        <v>20</v>
      </c>
      <c r="H213" s="3" t="s">
        <v>48</v>
      </c>
      <c r="I213" s="5">
        <v>43.0</v>
      </c>
      <c r="J213" s="8" t="str">
        <f>IFERROR(IFNA(vlookup(C213,merchants!$A$1:$D$41,2,FALSE),"Merchant not found"), "Merchant not found")</f>
        <v>Merchant_030</v>
      </c>
      <c r="K213" s="8" t="str">
        <f>IFERROR(IFNA(vlookup(C213,merchants!$A$1:$D$41,3,FALSE),"Merchant not found"), "Merchant not found")</f>
        <v>travel</v>
      </c>
      <c r="L213" s="8" t="str">
        <f>IFERROR(IFNA(vlookup(C213,merchants!$A$1:$D$41,4,FALSE),"Merchant not found"), "Merchant not found")</f>
        <v>West</v>
      </c>
      <c r="M213" s="8">
        <f>IFERROR(IFNA(hlookup(G213,payment_methods!$A$1:$E$2,2,FALSE),"Payment method not found"), "Payment method not found")</f>
        <v>0</v>
      </c>
      <c r="N213" s="8">
        <f t="shared" si="2"/>
        <v>49</v>
      </c>
      <c r="O213" s="8" t="str">
        <f t="shared" si="3"/>
        <v>Normal</v>
      </c>
    </row>
    <row r="214" ht="15.75" customHeight="1">
      <c r="A214" s="3" t="s">
        <v>331</v>
      </c>
      <c r="B214" s="5">
        <v>167.0</v>
      </c>
      <c r="C214" s="5">
        <v>37.0</v>
      </c>
      <c r="D214" s="9">
        <v>46028.47152777778</v>
      </c>
      <c r="E214" s="10">
        <f t="shared" si="1"/>
        <v>46028</v>
      </c>
      <c r="F214" s="5">
        <v>99.0</v>
      </c>
      <c r="G214" s="3" t="s">
        <v>20</v>
      </c>
      <c r="H214" s="3" t="s">
        <v>48</v>
      </c>
      <c r="I214" s="5">
        <v>76.0</v>
      </c>
      <c r="J214" s="8" t="str">
        <f>IFERROR(IFNA(vlookup(C214,merchants!$A$1:$D$41,2,FALSE),"Merchant not found"), "Merchant not found")</f>
        <v>Merchant_037</v>
      </c>
      <c r="K214" s="8" t="str">
        <f>IFERROR(IFNA(vlookup(C214,merchants!$A$1:$D$41,3,FALSE),"Merchant not found"), "Merchant not found")</f>
        <v>entertainment</v>
      </c>
      <c r="L214" s="8" t="str">
        <f>IFERROR(IFNA(vlookup(C214,merchants!$A$1:$D$41,4,FALSE),"Merchant not found"), "Merchant not found")</f>
        <v>South</v>
      </c>
      <c r="M214" s="8">
        <f>IFERROR(IFNA(hlookup(G214,payment_methods!$A$1:$E$2,2,FALSE),"Payment method not found"), "Payment method not found")</f>
        <v>0</v>
      </c>
      <c r="N214" s="8">
        <f t="shared" si="2"/>
        <v>99</v>
      </c>
      <c r="O214" s="8" t="str">
        <f t="shared" si="3"/>
        <v>Normal</v>
      </c>
    </row>
    <row r="215" ht="15.75" customHeight="1">
      <c r="A215" s="3" t="s">
        <v>332</v>
      </c>
      <c r="B215" s="5">
        <v>81.0</v>
      </c>
      <c r="C215" s="5">
        <v>40.0</v>
      </c>
      <c r="D215" s="9">
        <v>46025.04791666667</v>
      </c>
      <c r="E215" s="10">
        <f t="shared" si="1"/>
        <v>46025</v>
      </c>
      <c r="F215" s="5">
        <v>49.0</v>
      </c>
      <c r="G215" s="3" t="s">
        <v>20</v>
      </c>
      <c r="H215" s="3" t="s">
        <v>48</v>
      </c>
      <c r="I215" s="5">
        <v>6.0</v>
      </c>
      <c r="J215" s="8" t="str">
        <f>IFERROR(IFNA(vlookup(C215,merchants!$A$1:$D$41,2,FALSE),"Merchant not found"), "Merchant not found")</f>
        <v>Merchant_040</v>
      </c>
      <c r="K215" s="8" t="str">
        <f>IFERROR(IFNA(vlookup(C215,merchants!$A$1:$D$41,3,FALSE),"Merchant not found"), "Merchant not found")</f>
        <v>entertainment</v>
      </c>
      <c r="L215" s="8" t="str">
        <f>IFERROR(IFNA(vlookup(C215,merchants!$A$1:$D$41,4,FALSE),"Merchant not found"), "Merchant not found")</f>
        <v>South</v>
      </c>
      <c r="M215" s="8">
        <f>IFERROR(IFNA(hlookup(G215,payment_methods!$A$1:$E$2,2,FALSE),"Payment method not found"), "Payment method not found")</f>
        <v>0</v>
      </c>
      <c r="N215" s="8">
        <f t="shared" si="2"/>
        <v>49</v>
      </c>
      <c r="O215" s="8" t="str">
        <f t="shared" si="3"/>
        <v>Normal</v>
      </c>
    </row>
    <row r="216" ht="15.75" customHeight="1">
      <c r="A216" s="3" t="s">
        <v>333</v>
      </c>
      <c r="B216" s="5">
        <v>227.0</v>
      </c>
      <c r="C216" s="5">
        <v>28.0</v>
      </c>
      <c r="D216" s="9">
        <v>46044.095138888886</v>
      </c>
      <c r="E216" s="10">
        <f t="shared" si="1"/>
        <v>46044</v>
      </c>
      <c r="F216" s="5">
        <v>99.0</v>
      </c>
      <c r="G216" s="3" t="s">
        <v>20</v>
      </c>
      <c r="H216" s="3" t="s">
        <v>48</v>
      </c>
      <c r="I216" s="5">
        <v>62.0</v>
      </c>
      <c r="J216" s="8" t="str">
        <f>IFERROR(IFNA(vlookup(C216,merchants!$A$1:$D$41,2,FALSE),"Merchant not found"), "Merchant not found")</f>
        <v>Merchant_028</v>
      </c>
      <c r="K216" s="8" t="str">
        <f>IFERROR(IFNA(vlookup(C216,merchants!$A$1:$D$41,3,FALSE),"Merchant not found"), "Merchant not found")</f>
        <v>ecommerce</v>
      </c>
      <c r="L216" s="8" t="str">
        <f>IFERROR(IFNA(vlookup(C216,merchants!$A$1:$D$41,4,FALSE),"Merchant not found"), "Merchant not found")</f>
        <v>South</v>
      </c>
      <c r="M216" s="8">
        <f>IFERROR(IFNA(hlookup(G216,payment_methods!$A$1:$E$2,2,FALSE),"Payment method not found"), "Payment method not found")</f>
        <v>0</v>
      </c>
      <c r="N216" s="8">
        <f t="shared" si="2"/>
        <v>99</v>
      </c>
      <c r="O216" s="8" t="str">
        <f t="shared" si="3"/>
        <v>Normal</v>
      </c>
    </row>
    <row r="217" ht="15.75" customHeight="1">
      <c r="A217" s="3" t="s">
        <v>334</v>
      </c>
      <c r="B217" s="5">
        <v>140.0</v>
      </c>
      <c r="C217" s="5">
        <v>14.0</v>
      </c>
      <c r="D217" s="9">
        <v>46042.60138888889</v>
      </c>
      <c r="E217" s="10">
        <f t="shared" si="1"/>
        <v>46042</v>
      </c>
      <c r="F217" s="5">
        <v>299.0</v>
      </c>
      <c r="G217" s="3" t="s">
        <v>15</v>
      </c>
      <c r="H217" s="3" t="s">
        <v>48</v>
      </c>
      <c r="I217" s="5">
        <v>96.0</v>
      </c>
      <c r="J217" s="8" t="str">
        <f>IFERROR(IFNA(vlookup(C217,merchants!$A$1:$D$41,2,FALSE),"Merchant not found"), "Merchant not found")</f>
        <v>Merchant_014</v>
      </c>
      <c r="K217" s="8" t="str">
        <f>IFERROR(IFNA(vlookup(C217,merchants!$A$1:$D$41,3,FALSE),"Merchant not found"), "Merchant not found")</f>
        <v>grocery</v>
      </c>
      <c r="L217" s="8" t="str">
        <f>IFERROR(IFNA(vlookup(C217,merchants!$A$1:$D$41,4,FALSE),"Merchant not found"), "Merchant not found")</f>
        <v>East</v>
      </c>
      <c r="M217" s="8">
        <f>IFERROR(IFNA(hlookup(G217,payment_methods!$A$1:$E$2,2,FALSE),"Payment method not found"), "Payment method not found")</f>
        <v>0.0025</v>
      </c>
      <c r="N217" s="8">
        <f t="shared" si="2"/>
        <v>299</v>
      </c>
      <c r="O217" s="8" t="str">
        <f t="shared" si="3"/>
        <v>Normal</v>
      </c>
    </row>
    <row r="218" ht="15.75" customHeight="1">
      <c r="A218" s="3" t="s">
        <v>335</v>
      </c>
      <c r="B218" s="5">
        <v>221.0</v>
      </c>
      <c r="C218" s="5">
        <v>8.0</v>
      </c>
      <c r="D218" s="9">
        <v>46039.14027777778</v>
      </c>
      <c r="E218" s="10">
        <f t="shared" si="1"/>
        <v>46039</v>
      </c>
      <c r="F218" s="5">
        <v>299.0</v>
      </c>
      <c r="G218" s="3" t="s">
        <v>20</v>
      </c>
      <c r="H218" s="3" t="s">
        <v>48</v>
      </c>
      <c r="I218" s="5">
        <v>36.0</v>
      </c>
      <c r="J218" s="8" t="str">
        <f>IFERROR(IFNA(vlookup(C218,merchants!$A$1:$D$41,2,FALSE),"Merchant not found"), "Merchant not found")</f>
        <v>Merchant_008</v>
      </c>
      <c r="K218" s="8" t="str">
        <f>IFERROR(IFNA(vlookup(C218,merchants!$A$1:$D$41,3,FALSE),"Merchant not found"), "Merchant not found")</f>
        <v>food_delivery</v>
      </c>
      <c r="L218" s="8" t="str">
        <f>IFERROR(IFNA(vlookup(C218,merchants!$A$1:$D$41,4,FALSE),"Merchant not found"), "Merchant not found")</f>
        <v>North</v>
      </c>
      <c r="M218" s="8">
        <f>IFERROR(IFNA(hlookup(G218,payment_methods!$A$1:$E$2,2,FALSE),"Payment method not found"), "Payment method not found")</f>
        <v>0</v>
      </c>
      <c r="N218" s="8">
        <f t="shared" si="2"/>
        <v>348</v>
      </c>
      <c r="O218" s="8" t="str">
        <f t="shared" si="3"/>
        <v>Normal</v>
      </c>
    </row>
    <row r="219" ht="15.75" customHeight="1">
      <c r="A219" s="3" t="s">
        <v>336</v>
      </c>
      <c r="B219" s="5">
        <v>250.0</v>
      </c>
      <c r="C219" s="5">
        <v>34.0</v>
      </c>
      <c r="D219" s="9">
        <v>46044.90069444444</v>
      </c>
      <c r="E219" s="10">
        <f t="shared" si="1"/>
        <v>46044</v>
      </c>
      <c r="F219" s="5">
        <v>299.0</v>
      </c>
      <c r="G219" s="3" t="s">
        <v>15</v>
      </c>
      <c r="H219" s="3" t="s">
        <v>48</v>
      </c>
      <c r="I219" s="5">
        <v>85.0</v>
      </c>
      <c r="J219" s="8" t="str">
        <f>IFERROR(IFNA(vlookup(C219,merchants!$A$1:$D$41,2,FALSE),"Merchant not found"), "Merchant not found")</f>
        <v>Merchant_034</v>
      </c>
      <c r="K219" s="8" t="str">
        <f>IFERROR(IFNA(vlookup(C219,merchants!$A$1:$D$41,3,FALSE),"Merchant not found"), "Merchant not found")</f>
        <v>travel</v>
      </c>
      <c r="L219" s="8" t="str">
        <f>IFERROR(IFNA(vlookup(C219,merchants!$A$1:$D$41,4,FALSE),"Merchant not found"), "Merchant not found")</f>
        <v>South</v>
      </c>
      <c r="M219" s="8">
        <f>IFERROR(IFNA(hlookup(G219,payment_methods!$A$1:$E$2,2,FALSE),"Payment method not found"), "Payment method not found")</f>
        <v>0.0025</v>
      </c>
      <c r="N219" s="8">
        <f t="shared" si="2"/>
        <v>299</v>
      </c>
      <c r="O219" s="8" t="str">
        <f t="shared" si="3"/>
        <v>Normal</v>
      </c>
    </row>
    <row r="220" ht="15.75" customHeight="1">
      <c r="A220" s="3" t="s">
        <v>337</v>
      </c>
      <c r="B220" s="5">
        <v>203.0</v>
      </c>
      <c r="C220" s="5">
        <v>39.0</v>
      </c>
      <c r="D220" s="9">
        <v>46032.05138888889</v>
      </c>
      <c r="E220" s="10">
        <f t="shared" si="1"/>
        <v>46032</v>
      </c>
      <c r="F220" s="5">
        <v>49.0</v>
      </c>
      <c r="G220" s="3" t="s">
        <v>20</v>
      </c>
      <c r="H220" s="3" t="s">
        <v>48</v>
      </c>
      <c r="I220" s="5">
        <v>7.0</v>
      </c>
      <c r="J220" s="8" t="str">
        <f>IFERROR(IFNA(vlookup(C220,merchants!$A$1:$D$41,2,FALSE),"Merchant not found"), "Merchant not found")</f>
        <v>Merchant_039</v>
      </c>
      <c r="K220" s="8" t="str">
        <f>IFERROR(IFNA(vlookup(C220,merchants!$A$1:$D$41,3,FALSE),"Merchant not found"), "Merchant not found")</f>
        <v>entertainment</v>
      </c>
      <c r="L220" s="8" t="str">
        <f>IFERROR(IFNA(vlookup(C220,merchants!$A$1:$D$41,4,FALSE),"Merchant not found"), "Merchant not found")</f>
        <v>North</v>
      </c>
      <c r="M220" s="8">
        <f>IFERROR(IFNA(hlookup(G220,payment_methods!$A$1:$E$2,2,FALSE),"Payment method not found"), "Payment method not found")</f>
        <v>0</v>
      </c>
      <c r="N220" s="8">
        <f t="shared" si="2"/>
        <v>49</v>
      </c>
      <c r="O220" s="8" t="str">
        <f t="shared" si="3"/>
        <v>Normal</v>
      </c>
    </row>
    <row r="221" ht="15.75" customHeight="1">
      <c r="A221" s="3" t="s">
        <v>338</v>
      </c>
      <c r="B221" s="5">
        <v>109.0</v>
      </c>
      <c r="C221" s="5">
        <v>9.0</v>
      </c>
      <c r="D221" s="9">
        <v>46023.263194444444</v>
      </c>
      <c r="E221" s="10">
        <f t="shared" si="1"/>
        <v>46023</v>
      </c>
      <c r="F221" s="5">
        <v>499.0</v>
      </c>
      <c r="G221" s="3" t="s">
        <v>15</v>
      </c>
      <c r="H221" s="3" t="s">
        <v>48</v>
      </c>
      <c r="I221" s="5">
        <v>97.0</v>
      </c>
      <c r="J221" s="8" t="str">
        <f>IFERROR(IFNA(vlookup(C221,merchants!$A$1:$D$41,2,FALSE),"Merchant not found"), "Merchant not found")</f>
        <v>Merchant_009</v>
      </c>
      <c r="K221" s="8" t="str">
        <f>IFERROR(IFNA(vlookup(C221,merchants!$A$1:$D$41,3,FALSE),"Merchant not found"), "Merchant not found")</f>
        <v>ecommerce</v>
      </c>
      <c r="L221" s="8" t="str">
        <f>IFERROR(IFNA(vlookup(C221,merchants!$A$1:$D$41,4,FALSE),"Merchant not found"), "Merchant not found")</f>
        <v>North</v>
      </c>
      <c r="M221" s="8">
        <f>IFERROR(IFNA(hlookup(G221,payment_methods!$A$1:$E$2,2,FALSE),"Payment method not found"), "Payment method not found")</f>
        <v>0.0025</v>
      </c>
      <c r="N221" s="8">
        <f t="shared" si="2"/>
        <v>499</v>
      </c>
      <c r="O221" s="8" t="str">
        <f t="shared" si="3"/>
        <v>Normal</v>
      </c>
    </row>
    <row r="222" ht="15.75" customHeight="1">
      <c r="A222" s="3" t="s">
        <v>339</v>
      </c>
      <c r="B222" s="5">
        <v>62.0</v>
      </c>
      <c r="C222" s="5">
        <v>1.0</v>
      </c>
      <c r="D222" s="9">
        <v>46031.38888888889</v>
      </c>
      <c r="E222" s="10">
        <f t="shared" si="1"/>
        <v>46031</v>
      </c>
      <c r="F222" s="5">
        <v>4999.0</v>
      </c>
      <c r="G222" s="3" t="s">
        <v>15</v>
      </c>
      <c r="H222" s="3" t="s">
        <v>48</v>
      </c>
      <c r="I222" s="5">
        <v>63.0</v>
      </c>
      <c r="J222" s="8" t="str">
        <f>IFERROR(IFNA(vlookup(C222,merchants!$A$1:$D$41,2,FALSE),"Merchant not found"), "Merchant not found")</f>
        <v>Merchant_001</v>
      </c>
      <c r="K222" s="8" t="str">
        <f>IFERROR(IFNA(vlookup(C222,merchants!$A$1:$D$41,3,FALSE),"Merchant not found"), "Merchant not found")</f>
        <v>ecommerce</v>
      </c>
      <c r="L222" s="8" t="str">
        <f>IFERROR(IFNA(vlookup(C222,merchants!$A$1:$D$41,4,FALSE),"Merchant not found"), "Merchant not found")</f>
        <v>South</v>
      </c>
      <c r="M222" s="8">
        <f>IFERROR(IFNA(hlookup(G222,payment_methods!$A$1:$E$2,2,FALSE),"Payment method not found"), "Payment method not found")</f>
        <v>0.0025</v>
      </c>
      <c r="N222" s="8">
        <f t="shared" si="2"/>
        <v>5048</v>
      </c>
      <c r="O222" s="8" t="str">
        <f t="shared" si="3"/>
        <v>High-Value Merchant Day</v>
      </c>
    </row>
    <row r="223" ht="15.75" customHeight="1">
      <c r="A223" s="3" t="s">
        <v>340</v>
      </c>
      <c r="B223" s="5">
        <v>67.0</v>
      </c>
      <c r="C223" s="5">
        <v>25.0</v>
      </c>
      <c r="D223" s="9">
        <v>46046.549305555556</v>
      </c>
      <c r="E223" s="10">
        <f t="shared" si="1"/>
        <v>46046</v>
      </c>
      <c r="F223" s="5">
        <v>49.0</v>
      </c>
      <c r="G223" s="3" t="s">
        <v>20</v>
      </c>
      <c r="H223" s="3" t="s">
        <v>48</v>
      </c>
      <c r="I223" s="5">
        <v>68.0</v>
      </c>
      <c r="J223" s="8" t="str">
        <f>IFERROR(IFNA(vlookup(C223,merchants!$A$1:$D$41,2,FALSE),"Merchant not found"), "Merchant not found")</f>
        <v>Merchant_025</v>
      </c>
      <c r="K223" s="8" t="str">
        <f>IFERROR(IFNA(vlookup(C223,merchants!$A$1:$D$41,3,FALSE),"Merchant not found"), "Merchant not found")</f>
        <v>travel</v>
      </c>
      <c r="L223" s="8" t="str">
        <f>IFERROR(IFNA(vlookup(C223,merchants!$A$1:$D$41,4,FALSE),"Merchant not found"), "Merchant not found")</f>
        <v>South</v>
      </c>
      <c r="M223" s="8">
        <f>IFERROR(IFNA(hlookup(G223,payment_methods!$A$1:$E$2,2,FALSE),"Payment method not found"), "Payment method not found")</f>
        <v>0</v>
      </c>
      <c r="N223" s="8">
        <f t="shared" si="2"/>
        <v>497</v>
      </c>
      <c r="O223" s="8" t="str">
        <f t="shared" si="3"/>
        <v>Normal</v>
      </c>
    </row>
    <row r="224" ht="15.75" customHeight="1">
      <c r="A224" s="3" t="s">
        <v>341</v>
      </c>
      <c r="B224" s="5">
        <v>287.0</v>
      </c>
      <c r="C224" s="5">
        <v>23.0</v>
      </c>
      <c r="D224" s="9">
        <v>46045.313888888886</v>
      </c>
      <c r="E224" s="10">
        <f t="shared" si="1"/>
        <v>46045</v>
      </c>
      <c r="F224" s="5">
        <v>49.0</v>
      </c>
      <c r="G224" s="3" t="s">
        <v>20</v>
      </c>
      <c r="H224" s="3" t="s">
        <v>48</v>
      </c>
      <c r="I224" s="5">
        <v>9.0</v>
      </c>
      <c r="J224" s="8" t="str">
        <f>IFERROR(IFNA(vlookup(C224,merchants!$A$1:$D$41,2,FALSE),"Merchant not found"), "Merchant not found")</f>
        <v>Merchant_023</v>
      </c>
      <c r="K224" s="8" t="str">
        <f>IFERROR(IFNA(vlookup(C224,merchants!$A$1:$D$41,3,FALSE),"Merchant not found"), "Merchant not found")</f>
        <v>travel</v>
      </c>
      <c r="L224" s="8" t="str">
        <f>IFERROR(IFNA(vlookup(C224,merchants!$A$1:$D$41,4,FALSE),"Merchant not found"), "Merchant not found")</f>
        <v>North</v>
      </c>
      <c r="M224" s="8">
        <f>IFERROR(IFNA(hlookup(G224,payment_methods!$A$1:$E$2,2,FALSE),"Payment method not found"), "Payment method not found")</f>
        <v>0</v>
      </c>
      <c r="N224" s="8">
        <f t="shared" si="2"/>
        <v>247</v>
      </c>
      <c r="O224" s="8" t="str">
        <f t="shared" si="3"/>
        <v>Normal</v>
      </c>
    </row>
    <row r="225" ht="15.75" customHeight="1">
      <c r="A225" s="3" t="s">
        <v>342</v>
      </c>
      <c r="B225" s="5">
        <v>224.0</v>
      </c>
      <c r="C225" s="5">
        <v>2.0</v>
      </c>
      <c r="D225" s="9">
        <v>46035.95972222222</v>
      </c>
      <c r="E225" s="10">
        <f t="shared" si="1"/>
        <v>46035</v>
      </c>
      <c r="F225" s="5">
        <v>49.0</v>
      </c>
      <c r="G225" s="3" t="s">
        <v>22</v>
      </c>
      <c r="H225" s="3" t="s">
        <v>48</v>
      </c>
      <c r="I225" s="5">
        <v>58.0</v>
      </c>
      <c r="J225" s="8" t="str">
        <f>IFERROR(IFNA(vlookup(C225,merchants!$A$1:$D$41,2,FALSE),"Merchant not found"), "Merchant not found")</f>
        <v>Merchant_002</v>
      </c>
      <c r="K225" s="8" t="str">
        <f>IFERROR(IFNA(vlookup(C225,merchants!$A$1:$D$41,3,FALSE),"Merchant not found"), "Merchant not found")</f>
        <v>grocery</v>
      </c>
      <c r="L225" s="8" t="str">
        <f>IFERROR(IFNA(vlookup(C225,merchants!$A$1:$D$41,4,FALSE),"Merchant not found"), "Merchant not found")</f>
        <v>West</v>
      </c>
      <c r="M225" s="8">
        <f>IFERROR(IFNA(hlookup(G225,payment_methods!$A$1:$E$2,2,FALSE),"Payment method not found"), "Payment method not found")</f>
        <v>0.01</v>
      </c>
      <c r="N225" s="8">
        <f t="shared" si="2"/>
        <v>49</v>
      </c>
      <c r="O225" s="8" t="str">
        <f t="shared" si="3"/>
        <v>Normal</v>
      </c>
    </row>
    <row r="226" ht="15.75" customHeight="1">
      <c r="A226" s="3" t="s">
        <v>343</v>
      </c>
      <c r="B226" s="5">
        <v>161.0</v>
      </c>
      <c r="C226" s="5">
        <v>37.0</v>
      </c>
      <c r="D226" s="9">
        <v>46052.12152777778</v>
      </c>
      <c r="E226" s="10">
        <f t="shared" si="1"/>
        <v>46052</v>
      </c>
      <c r="F226" s="5">
        <v>299.0</v>
      </c>
      <c r="G226" s="3" t="s">
        <v>20</v>
      </c>
      <c r="H226" s="3" t="s">
        <v>48</v>
      </c>
      <c r="I226" s="5">
        <v>54.0</v>
      </c>
      <c r="J226" s="8" t="str">
        <f>IFERROR(IFNA(vlookup(C226,merchants!$A$1:$D$41,2,FALSE),"Merchant not found"), "Merchant not found")</f>
        <v>Merchant_037</v>
      </c>
      <c r="K226" s="8" t="str">
        <f>IFERROR(IFNA(vlookup(C226,merchants!$A$1:$D$41,3,FALSE),"Merchant not found"), "Merchant not found")</f>
        <v>entertainment</v>
      </c>
      <c r="L226" s="8" t="str">
        <f>IFERROR(IFNA(vlookup(C226,merchants!$A$1:$D$41,4,FALSE),"Merchant not found"), "Merchant not found")</f>
        <v>South</v>
      </c>
      <c r="M226" s="8">
        <f>IFERROR(IFNA(hlookup(G226,payment_methods!$A$1:$E$2,2,FALSE),"Payment method not found"), "Payment method not found")</f>
        <v>0</v>
      </c>
      <c r="N226" s="8">
        <f t="shared" si="2"/>
        <v>299</v>
      </c>
      <c r="O226" s="8" t="str">
        <f t="shared" si="3"/>
        <v>Normal</v>
      </c>
    </row>
    <row r="227" ht="15.75" customHeight="1">
      <c r="A227" s="3" t="s">
        <v>344</v>
      </c>
      <c r="B227" s="5">
        <v>328.0</v>
      </c>
      <c r="C227" s="5">
        <v>27.0</v>
      </c>
      <c r="D227" s="9">
        <v>46041.53125</v>
      </c>
      <c r="E227" s="10">
        <f t="shared" si="1"/>
        <v>46041</v>
      </c>
      <c r="F227" s="5">
        <v>49.0</v>
      </c>
      <c r="G227" s="3" t="s">
        <v>20</v>
      </c>
      <c r="H227" s="3" t="s">
        <v>81</v>
      </c>
      <c r="I227" s="5">
        <v>37.0</v>
      </c>
      <c r="J227" s="8" t="str">
        <f>IFERROR(IFNA(vlookup(C227,merchants!$A$1:$D$41,2,FALSE),"Merchant not found"), "Merchant not found")</f>
        <v>Merchant_027</v>
      </c>
      <c r="K227" s="8" t="str">
        <f>IFERROR(IFNA(vlookup(C227,merchants!$A$1:$D$41,3,FALSE),"Merchant not found"), "Merchant not found")</f>
        <v>ecommerce</v>
      </c>
      <c r="L227" s="8" t="str">
        <f>IFERROR(IFNA(vlookup(C227,merchants!$A$1:$D$41,4,FALSE),"Merchant not found"), "Merchant not found")</f>
        <v>North</v>
      </c>
      <c r="M227" s="8">
        <f>IFERROR(IFNA(hlookup(G227,payment_methods!$A$1:$E$2,2,FALSE),"Payment method not found"), "Payment method not found")</f>
        <v>0</v>
      </c>
      <c r="N227" s="8">
        <f t="shared" si="2"/>
        <v>49</v>
      </c>
      <c r="O227" s="8" t="str">
        <f t="shared" si="3"/>
        <v>Normal</v>
      </c>
    </row>
    <row r="228" ht="15.75" customHeight="1">
      <c r="A228" s="3" t="s">
        <v>345</v>
      </c>
      <c r="B228" s="5">
        <v>167.0</v>
      </c>
      <c r="C228" s="5">
        <v>11.0</v>
      </c>
      <c r="D228" s="9">
        <v>46026.50069444445</v>
      </c>
      <c r="E228" s="10">
        <f t="shared" si="1"/>
        <v>46026</v>
      </c>
      <c r="F228" s="5">
        <v>1499.0</v>
      </c>
      <c r="G228" s="3" t="s">
        <v>22</v>
      </c>
      <c r="H228" s="3" t="s">
        <v>78</v>
      </c>
      <c r="I228" s="5">
        <v>79.0</v>
      </c>
      <c r="J228" s="8" t="str">
        <f>IFERROR(IFNA(vlookup(C228,merchants!$A$1:$D$41,2,FALSE),"Merchant not found"), "Merchant not found")</f>
        <v>Merchant_011</v>
      </c>
      <c r="K228" s="8" t="str">
        <f>IFERROR(IFNA(vlookup(C228,merchants!$A$1:$D$41,3,FALSE),"Merchant not found"), "Merchant not found")</f>
        <v>ecommerce</v>
      </c>
      <c r="L228" s="8" t="str">
        <f>IFERROR(IFNA(vlookup(C228,merchants!$A$1:$D$41,4,FALSE),"Merchant not found"), "Merchant not found")</f>
        <v>North</v>
      </c>
      <c r="M228" s="8">
        <f>IFERROR(IFNA(hlookup(G228,payment_methods!$A$1:$E$2,2,FALSE),"Payment method not found"), "Payment method not found")</f>
        <v>0.01</v>
      </c>
      <c r="N228" s="8">
        <f t="shared" si="2"/>
        <v>1499</v>
      </c>
      <c r="O228" s="8" t="str">
        <f t="shared" si="3"/>
        <v>Normal</v>
      </c>
    </row>
    <row r="229" ht="15.75" customHeight="1">
      <c r="A229" s="3" t="s">
        <v>346</v>
      </c>
      <c r="B229" s="5">
        <v>186.0</v>
      </c>
      <c r="C229" s="5">
        <v>6.0</v>
      </c>
      <c r="D229" s="9">
        <v>46037.95694444444</v>
      </c>
      <c r="E229" s="10">
        <f t="shared" si="1"/>
        <v>46037</v>
      </c>
      <c r="F229" s="5">
        <v>49.0</v>
      </c>
      <c r="G229" s="3" t="s">
        <v>15</v>
      </c>
      <c r="H229" s="3" t="s">
        <v>48</v>
      </c>
      <c r="I229" s="5">
        <v>55.0</v>
      </c>
      <c r="J229" s="8" t="str">
        <f>IFERROR(IFNA(vlookup(C229,merchants!$A$1:$D$41,2,FALSE),"Merchant not found"), "Merchant not found")</f>
        <v>Merchant_006</v>
      </c>
      <c r="K229" s="8" t="str">
        <f>IFERROR(IFNA(vlookup(C229,merchants!$A$1:$D$41,3,FALSE),"Merchant not found"), "Merchant not found")</f>
        <v>food_delivery</v>
      </c>
      <c r="L229" s="8" t="str">
        <f>IFERROR(IFNA(vlookup(C229,merchants!$A$1:$D$41,4,FALSE),"Merchant not found"), "Merchant not found")</f>
        <v>South</v>
      </c>
      <c r="M229" s="8">
        <f>IFERROR(IFNA(hlookup(G229,payment_methods!$A$1:$E$2,2,FALSE),"Payment method not found"), "Payment method not found")</f>
        <v>0.0025</v>
      </c>
      <c r="N229" s="8">
        <f t="shared" si="2"/>
        <v>49</v>
      </c>
      <c r="O229" s="8" t="str">
        <f t="shared" si="3"/>
        <v>Normal</v>
      </c>
    </row>
    <row r="230" ht="15.75" customHeight="1">
      <c r="A230" s="3" t="s">
        <v>347</v>
      </c>
      <c r="B230" s="5">
        <v>224.0</v>
      </c>
      <c r="C230" s="5">
        <v>38.0</v>
      </c>
      <c r="D230" s="9">
        <v>46050.135416666664</v>
      </c>
      <c r="E230" s="10">
        <f t="shared" si="1"/>
        <v>46050</v>
      </c>
      <c r="F230" s="5">
        <v>299.0</v>
      </c>
      <c r="G230" s="3" t="s">
        <v>15</v>
      </c>
      <c r="H230" s="3" t="s">
        <v>78</v>
      </c>
      <c r="I230" s="5">
        <v>51.0</v>
      </c>
      <c r="J230" s="8" t="str">
        <f>IFERROR(IFNA(vlookup(C230,merchants!$A$1:$D$41,2,FALSE),"Merchant not found"), "Merchant not found")</f>
        <v>Merchant_038</v>
      </c>
      <c r="K230" s="8" t="str">
        <f>IFERROR(IFNA(vlookup(C230,merchants!$A$1:$D$41,3,FALSE),"Merchant not found"), "Merchant not found")</f>
        <v>grocery</v>
      </c>
      <c r="L230" s="8" t="str">
        <f>IFERROR(IFNA(vlookup(C230,merchants!$A$1:$D$41,4,FALSE),"Merchant not found"), "Merchant not found")</f>
        <v>East</v>
      </c>
      <c r="M230" s="8">
        <f>IFERROR(IFNA(hlookup(G230,payment_methods!$A$1:$E$2,2,FALSE),"Payment method not found"), "Payment method not found")</f>
        <v>0.0025</v>
      </c>
      <c r="N230" s="8">
        <f t="shared" si="2"/>
        <v>299</v>
      </c>
      <c r="O230" s="8" t="str">
        <f t="shared" si="3"/>
        <v>Normal</v>
      </c>
    </row>
    <row r="231" ht="15.75" customHeight="1">
      <c r="A231" s="3" t="s">
        <v>348</v>
      </c>
      <c r="B231" s="5">
        <v>159.0</v>
      </c>
      <c r="C231" s="5">
        <v>22.0</v>
      </c>
      <c r="D231" s="9">
        <v>46039.100694444445</v>
      </c>
      <c r="E231" s="10">
        <f t="shared" si="1"/>
        <v>46039</v>
      </c>
      <c r="F231" s="5">
        <v>799.0</v>
      </c>
      <c r="G231" s="3" t="s">
        <v>20</v>
      </c>
      <c r="H231" s="3" t="s">
        <v>48</v>
      </c>
      <c r="I231" s="5">
        <v>28.0</v>
      </c>
      <c r="J231" s="8" t="str">
        <f>IFERROR(IFNA(vlookup(C231,merchants!$A$1:$D$41,2,FALSE),"Merchant not found"), "Merchant not found")</f>
        <v>Merchant_022</v>
      </c>
      <c r="K231" s="8" t="str">
        <f>IFERROR(IFNA(vlookup(C231,merchants!$A$1:$D$41,3,FALSE),"Merchant not found"), "Merchant not found")</f>
        <v>travel</v>
      </c>
      <c r="L231" s="8" t="str">
        <f>IFERROR(IFNA(vlookup(C231,merchants!$A$1:$D$41,4,FALSE),"Merchant not found"), "Merchant not found")</f>
        <v>South</v>
      </c>
      <c r="M231" s="8">
        <f>IFERROR(IFNA(hlookup(G231,payment_methods!$A$1:$E$2,2,FALSE),"Payment method not found"), "Payment method not found")</f>
        <v>0</v>
      </c>
      <c r="N231" s="8">
        <f t="shared" si="2"/>
        <v>1598</v>
      </c>
      <c r="O231" s="8" t="str">
        <f t="shared" si="3"/>
        <v>Normal</v>
      </c>
    </row>
    <row r="232" ht="15.75" customHeight="1">
      <c r="A232" s="3" t="s">
        <v>349</v>
      </c>
      <c r="B232" s="5">
        <v>262.0</v>
      </c>
      <c r="C232" s="5">
        <v>8.0</v>
      </c>
      <c r="D232" s="9">
        <v>46033.21111111111</v>
      </c>
      <c r="E232" s="10">
        <f t="shared" si="1"/>
        <v>46033</v>
      </c>
      <c r="F232" s="5">
        <v>149.0</v>
      </c>
      <c r="G232" s="3" t="s">
        <v>20</v>
      </c>
      <c r="H232" s="3" t="s">
        <v>48</v>
      </c>
      <c r="I232" s="5">
        <v>67.0</v>
      </c>
      <c r="J232" s="8" t="str">
        <f>IFERROR(IFNA(vlookup(C232,merchants!$A$1:$D$41,2,FALSE),"Merchant not found"), "Merchant not found")</f>
        <v>Merchant_008</v>
      </c>
      <c r="K232" s="8" t="str">
        <f>IFERROR(IFNA(vlookup(C232,merchants!$A$1:$D$41,3,FALSE),"Merchant not found"), "Merchant not found")</f>
        <v>food_delivery</v>
      </c>
      <c r="L232" s="8" t="str">
        <f>IFERROR(IFNA(vlookup(C232,merchants!$A$1:$D$41,4,FALSE),"Merchant not found"), "Merchant not found")</f>
        <v>North</v>
      </c>
      <c r="M232" s="8">
        <f>IFERROR(IFNA(hlookup(G232,payment_methods!$A$1:$E$2,2,FALSE),"Payment method not found"), "Payment method not found")</f>
        <v>0</v>
      </c>
      <c r="N232" s="8">
        <f t="shared" si="2"/>
        <v>149</v>
      </c>
      <c r="O232" s="8" t="str">
        <f t="shared" si="3"/>
        <v>Normal</v>
      </c>
    </row>
    <row r="233" ht="15.75" customHeight="1">
      <c r="A233" s="3" t="s">
        <v>350</v>
      </c>
      <c r="B233" s="5">
        <v>179.0</v>
      </c>
      <c r="C233" s="5">
        <v>23.0</v>
      </c>
      <c r="D233" s="9">
        <v>46039.28958333333</v>
      </c>
      <c r="E233" s="10">
        <f t="shared" si="1"/>
        <v>46039</v>
      </c>
      <c r="F233" s="5">
        <v>49.0</v>
      </c>
      <c r="G233" s="3" t="s">
        <v>15</v>
      </c>
      <c r="H233" s="3" t="s">
        <v>48</v>
      </c>
      <c r="I233" s="5">
        <v>93.0</v>
      </c>
      <c r="J233" s="8" t="str">
        <f>IFERROR(IFNA(vlookup(C233,merchants!$A$1:$D$41,2,FALSE),"Merchant not found"), "Merchant not found")</f>
        <v>Merchant_023</v>
      </c>
      <c r="K233" s="8" t="str">
        <f>IFERROR(IFNA(vlookup(C233,merchants!$A$1:$D$41,3,FALSE),"Merchant not found"), "Merchant not found")</f>
        <v>travel</v>
      </c>
      <c r="L233" s="8" t="str">
        <f>IFERROR(IFNA(vlookup(C233,merchants!$A$1:$D$41,4,FALSE),"Merchant not found"), "Merchant not found")</f>
        <v>North</v>
      </c>
      <c r="M233" s="8">
        <f>IFERROR(IFNA(hlookup(G233,payment_methods!$A$1:$E$2,2,FALSE),"Payment method not found"), "Payment method not found")</f>
        <v>0.0025</v>
      </c>
      <c r="N233" s="8">
        <f t="shared" si="2"/>
        <v>49</v>
      </c>
      <c r="O233" s="8" t="str">
        <f t="shared" si="3"/>
        <v>Normal</v>
      </c>
    </row>
    <row r="234" ht="15.75" customHeight="1">
      <c r="A234" s="3" t="s">
        <v>351</v>
      </c>
      <c r="B234" s="5">
        <v>76.0</v>
      </c>
      <c r="C234" s="5">
        <v>16.0</v>
      </c>
      <c r="D234" s="9">
        <v>46049.86944444444</v>
      </c>
      <c r="E234" s="10">
        <f t="shared" si="1"/>
        <v>46049</v>
      </c>
      <c r="F234" s="5">
        <v>299.0</v>
      </c>
      <c r="G234" s="3" t="s">
        <v>20</v>
      </c>
      <c r="H234" s="3" t="s">
        <v>48</v>
      </c>
      <c r="I234" s="5">
        <v>13.0</v>
      </c>
      <c r="J234" s="8" t="str">
        <f>IFERROR(IFNA(vlookup(C234,merchants!$A$1:$D$41,2,FALSE),"Merchant not found"), "Merchant not found")</f>
        <v>Merchant_016</v>
      </c>
      <c r="K234" s="8" t="str">
        <f>IFERROR(IFNA(vlookup(C234,merchants!$A$1:$D$41,3,FALSE),"Merchant not found"), "Merchant not found")</f>
        <v>bill_payment</v>
      </c>
      <c r="L234" s="8" t="str">
        <f>IFERROR(IFNA(vlookup(C234,merchants!$A$1:$D$41,4,FALSE),"Merchant not found"), "Merchant not found")</f>
        <v>West</v>
      </c>
      <c r="M234" s="8">
        <f>IFERROR(IFNA(hlookup(G234,payment_methods!$A$1:$E$2,2,FALSE),"Payment method not found"), "Payment method not found")</f>
        <v>0</v>
      </c>
      <c r="N234" s="8">
        <f t="shared" si="2"/>
        <v>348</v>
      </c>
      <c r="O234" s="8" t="str">
        <f t="shared" si="3"/>
        <v>Normal</v>
      </c>
    </row>
    <row r="235" ht="15.75" customHeight="1">
      <c r="A235" s="3" t="s">
        <v>352</v>
      </c>
      <c r="B235" s="5">
        <v>89.0</v>
      </c>
      <c r="C235" s="5">
        <v>39.0</v>
      </c>
      <c r="D235" s="9">
        <v>46027.34166666667</v>
      </c>
      <c r="E235" s="10">
        <f t="shared" si="1"/>
        <v>46027</v>
      </c>
      <c r="F235" s="5">
        <v>299.0</v>
      </c>
      <c r="G235" s="3" t="s">
        <v>20</v>
      </c>
      <c r="H235" s="3" t="s">
        <v>48</v>
      </c>
      <c r="I235" s="5">
        <v>19.0</v>
      </c>
      <c r="J235" s="8" t="str">
        <f>IFERROR(IFNA(vlookup(C235,merchants!$A$1:$D$41,2,FALSE),"Merchant not found"), "Merchant not found")</f>
        <v>Merchant_039</v>
      </c>
      <c r="K235" s="8" t="str">
        <f>IFERROR(IFNA(vlookup(C235,merchants!$A$1:$D$41,3,FALSE),"Merchant not found"), "Merchant not found")</f>
        <v>entertainment</v>
      </c>
      <c r="L235" s="8" t="str">
        <f>IFERROR(IFNA(vlookup(C235,merchants!$A$1:$D$41,4,FALSE),"Merchant not found"), "Merchant not found")</f>
        <v>North</v>
      </c>
      <c r="M235" s="8">
        <f>IFERROR(IFNA(hlookup(G235,payment_methods!$A$1:$E$2,2,FALSE),"Payment method not found"), "Payment method not found")</f>
        <v>0</v>
      </c>
      <c r="N235" s="8">
        <f t="shared" si="2"/>
        <v>299</v>
      </c>
      <c r="O235" s="8" t="str">
        <f t="shared" si="3"/>
        <v>Normal</v>
      </c>
    </row>
    <row r="236" ht="15.75" customHeight="1">
      <c r="A236" s="3" t="s">
        <v>353</v>
      </c>
      <c r="B236" s="5">
        <v>91.0</v>
      </c>
      <c r="C236" s="5">
        <v>32.0</v>
      </c>
      <c r="D236" s="9">
        <v>46047.83611111111</v>
      </c>
      <c r="E236" s="10">
        <f t="shared" si="1"/>
        <v>46047</v>
      </c>
      <c r="F236" s="5">
        <v>49.0</v>
      </c>
      <c r="G236" s="3" t="s">
        <v>20</v>
      </c>
      <c r="H236" s="3" t="s">
        <v>48</v>
      </c>
      <c r="I236" s="5">
        <v>59.0</v>
      </c>
      <c r="J236" s="8" t="str">
        <f>IFERROR(IFNA(vlookup(C236,merchants!$A$1:$D$41,2,FALSE),"Merchant not found"), "Merchant not found")</f>
        <v>Merchant_032</v>
      </c>
      <c r="K236" s="8" t="str">
        <f>IFERROR(IFNA(vlookup(C236,merchants!$A$1:$D$41,3,FALSE),"Merchant not found"), "Merchant not found")</f>
        <v>food_delivery</v>
      </c>
      <c r="L236" s="8" t="str">
        <f>IFERROR(IFNA(vlookup(C236,merchants!$A$1:$D$41,4,FALSE),"Merchant not found"), "Merchant not found")</f>
        <v>West</v>
      </c>
      <c r="M236" s="8">
        <f>IFERROR(IFNA(hlookup(G236,payment_methods!$A$1:$E$2,2,FALSE),"Payment method not found"), "Payment method not found")</f>
        <v>0</v>
      </c>
      <c r="N236" s="8">
        <f t="shared" si="2"/>
        <v>49</v>
      </c>
      <c r="O236" s="8" t="str">
        <f t="shared" si="3"/>
        <v>Normal</v>
      </c>
    </row>
    <row r="237" ht="15.75" customHeight="1">
      <c r="A237" s="3" t="s">
        <v>354</v>
      </c>
      <c r="B237" s="5">
        <v>297.0</v>
      </c>
      <c r="C237" s="5">
        <v>29.0</v>
      </c>
      <c r="D237" s="9">
        <v>46047.78333333333</v>
      </c>
      <c r="E237" s="10">
        <f t="shared" si="1"/>
        <v>46047</v>
      </c>
      <c r="F237" s="5">
        <v>99.0</v>
      </c>
      <c r="G237" s="3" t="s">
        <v>22</v>
      </c>
      <c r="H237" s="3" t="s">
        <v>81</v>
      </c>
      <c r="I237" s="5">
        <v>87.0</v>
      </c>
      <c r="J237" s="8" t="str">
        <f>IFERROR(IFNA(vlookup(C237,merchants!$A$1:$D$41,2,FALSE),"Merchant not found"), "Merchant not found")</f>
        <v>Merchant_029</v>
      </c>
      <c r="K237" s="8" t="str">
        <f>IFERROR(IFNA(vlookup(C237,merchants!$A$1:$D$41,3,FALSE),"Merchant not found"), "Merchant not found")</f>
        <v>ecommerce</v>
      </c>
      <c r="L237" s="8" t="str">
        <f>IFERROR(IFNA(vlookup(C237,merchants!$A$1:$D$41,4,FALSE),"Merchant not found"), "Merchant not found")</f>
        <v>North</v>
      </c>
      <c r="M237" s="8">
        <f>IFERROR(IFNA(hlookup(G237,payment_methods!$A$1:$E$2,2,FALSE),"Payment method not found"), "Payment method not found")</f>
        <v>0.01</v>
      </c>
      <c r="N237" s="8">
        <f t="shared" si="2"/>
        <v>3896</v>
      </c>
      <c r="O237" s="8" t="str">
        <f t="shared" si="3"/>
        <v>Normal</v>
      </c>
    </row>
    <row r="238" ht="15.75" customHeight="1">
      <c r="A238" s="3" t="s">
        <v>355</v>
      </c>
      <c r="B238" s="5">
        <v>326.0</v>
      </c>
      <c r="C238" s="5">
        <v>40.0</v>
      </c>
      <c r="D238" s="9">
        <v>46052.77847222222</v>
      </c>
      <c r="E238" s="10">
        <f t="shared" si="1"/>
        <v>46052</v>
      </c>
      <c r="F238" s="5">
        <v>499.0</v>
      </c>
      <c r="G238" s="3" t="s">
        <v>22</v>
      </c>
      <c r="H238" s="3" t="s">
        <v>48</v>
      </c>
      <c r="I238" s="5">
        <v>41.0</v>
      </c>
      <c r="J238" s="8" t="str">
        <f>IFERROR(IFNA(vlookup(C238,merchants!$A$1:$D$41,2,FALSE),"Merchant not found"), "Merchant not found")</f>
        <v>Merchant_040</v>
      </c>
      <c r="K238" s="8" t="str">
        <f>IFERROR(IFNA(vlookup(C238,merchants!$A$1:$D$41,3,FALSE),"Merchant not found"), "Merchant not found")</f>
        <v>entertainment</v>
      </c>
      <c r="L238" s="8" t="str">
        <f>IFERROR(IFNA(vlookup(C238,merchants!$A$1:$D$41,4,FALSE),"Merchant not found"), "Merchant not found")</f>
        <v>South</v>
      </c>
      <c r="M238" s="8">
        <f>IFERROR(IFNA(hlookup(G238,payment_methods!$A$1:$E$2,2,FALSE),"Payment method not found"), "Payment method not found")</f>
        <v>0.01</v>
      </c>
      <c r="N238" s="8">
        <f t="shared" si="2"/>
        <v>499</v>
      </c>
      <c r="O238" s="8" t="str">
        <f t="shared" si="3"/>
        <v>Normal</v>
      </c>
    </row>
    <row r="239" ht="15.75" customHeight="1">
      <c r="A239" s="3" t="s">
        <v>356</v>
      </c>
      <c r="B239" s="5">
        <v>78.0</v>
      </c>
      <c r="C239" s="5">
        <v>29.0</v>
      </c>
      <c r="D239" s="9">
        <v>46050.84722222222</v>
      </c>
      <c r="E239" s="10">
        <f t="shared" si="1"/>
        <v>46050</v>
      </c>
      <c r="F239" s="5">
        <v>149.0</v>
      </c>
      <c r="G239" s="3" t="s">
        <v>20</v>
      </c>
      <c r="H239" s="3" t="s">
        <v>48</v>
      </c>
      <c r="I239" s="5">
        <v>8.0</v>
      </c>
      <c r="J239" s="8" t="str">
        <f>IFERROR(IFNA(vlookup(C239,merchants!$A$1:$D$41,2,FALSE),"Merchant not found"), "Merchant not found")</f>
        <v>Merchant_029</v>
      </c>
      <c r="K239" s="8" t="str">
        <f>IFERROR(IFNA(vlookup(C239,merchants!$A$1:$D$41,3,FALSE),"Merchant not found"), "Merchant not found")</f>
        <v>ecommerce</v>
      </c>
      <c r="L239" s="8" t="str">
        <f>IFERROR(IFNA(vlookup(C239,merchants!$A$1:$D$41,4,FALSE),"Merchant not found"), "Merchant not found")</f>
        <v>North</v>
      </c>
      <c r="M239" s="8">
        <f>IFERROR(IFNA(hlookup(G239,payment_methods!$A$1:$E$2,2,FALSE),"Payment method not found"), "Payment method not found")</f>
        <v>0</v>
      </c>
      <c r="N239" s="8">
        <f t="shared" si="2"/>
        <v>149</v>
      </c>
      <c r="O239" s="8" t="str">
        <f t="shared" si="3"/>
        <v>Normal</v>
      </c>
    </row>
    <row r="240" ht="15.75" customHeight="1">
      <c r="A240" s="3" t="s">
        <v>357</v>
      </c>
      <c r="B240" s="5">
        <v>156.0</v>
      </c>
      <c r="C240" s="5">
        <v>18.0</v>
      </c>
      <c r="D240" s="9">
        <v>46038.61111111111</v>
      </c>
      <c r="E240" s="10">
        <f t="shared" si="1"/>
        <v>46038</v>
      </c>
      <c r="F240" s="5">
        <v>2999.0</v>
      </c>
      <c r="G240" s="3" t="s">
        <v>22</v>
      </c>
      <c r="H240" s="3" t="s">
        <v>48</v>
      </c>
      <c r="I240" s="5">
        <v>75.0</v>
      </c>
      <c r="J240" s="8" t="str">
        <f>IFERROR(IFNA(vlookup(C240,merchants!$A$1:$D$41,2,FALSE),"Merchant not found"), "Merchant not found")</f>
        <v>Merchant_018</v>
      </c>
      <c r="K240" s="8" t="str">
        <f>IFERROR(IFNA(vlookup(C240,merchants!$A$1:$D$41,3,FALSE),"Merchant not found"), "Merchant not found")</f>
        <v>grocery</v>
      </c>
      <c r="L240" s="8" t="str">
        <f>IFERROR(IFNA(vlookup(C240,merchants!$A$1:$D$41,4,FALSE),"Merchant not found"), "Merchant not found")</f>
        <v>West</v>
      </c>
      <c r="M240" s="8">
        <f>IFERROR(IFNA(hlookup(G240,payment_methods!$A$1:$E$2,2,FALSE),"Payment method not found"), "Payment method not found")</f>
        <v>0.01</v>
      </c>
      <c r="N240" s="8">
        <f t="shared" si="2"/>
        <v>3148</v>
      </c>
      <c r="O240" s="8" t="str">
        <f t="shared" si="3"/>
        <v>Normal</v>
      </c>
    </row>
    <row r="241" ht="15.75" customHeight="1">
      <c r="A241" s="3" t="s">
        <v>358</v>
      </c>
      <c r="B241" s="5">
        <v>38.0</v>
      </c>
      <c r="C241" s="5">
        <v>20.0</v>
      </c>
      <c r="D241" s="9">
        <v>46024.48055555556</v>
      </c>
      <c r="E241" s="10">
        <f t="shared" si="1"/>
        <v>46024</v>
      </c>
      <c r="F241" s="5">
        <v>49.0</v>
      </c>
      <c r="G241" s="3" t="s">
        <v>15</v>
      </c>
      <c r="H241" s="3" t="s">
        <v>78</v>
      </c>
      <c r="I241" s="5">
        <v>59.0</v>
      </c>
      <c r="J241" s="8" t="str">
        <f>IFERROR(IFNA(vlookup(C241,merchants!$A$1:$D$41,2,FALSE),"Merchant not found"), "Merchant not found")</f>
        <v>Merchant_020</v>
      </c>
      <c r="K241" s="8" t="str">
        <f>IFERROR(IFNA(vlookup(C241,merchants!$A$1:$D$41,3,FALSE),"Merchant not found"), "Merchant not found")</f>
        <v>food_delivery</v>
      </c>
      <c r="L241" s="8" t="str">
        <f>IFERROR(IFNA(vlookup(C241,merchants!$A$1:$D$41,4,FALSE),"Merchant not found"), "Merchant not found")</f>
        <v>East</v>
      </c>
      <c r="M241" s="8">
        <f>IFERROR(IFNA(hlookup(G241,payment_methods!$A$1:$E$2,2,FALSE),"Payment method not found"), "Payment method not found")</f>
        <v>0.0025</v>
      </c>
      <c r="N241" s="8">
        <f t="shared" si="2"/>
        <v>49</v>
      </c>
      <c r="O241" s="8" t="str">
        <f t="shared" si="3"/>
        <v>Normal</v>
      </c>
    </row>
    <row r="242" ht="15.75" customHeight="1">
      <c r="A242" s="3" t="s">
        <v>359</v>
      </c>
      <c r="B242" s="5">
        <v>189.0</v>
      </c>
      <c r="C242" s="5">
        <v>19.0</v>
      </c>
      <c r="D242" s="9">
        <v>46037.04375</v>
      </c>
      <c r="E242" s="10">
        <f t="shared" si="1"/>
        <v>46037</v>
      </c>
      <c r="F242" s="5">
        <v>99.0</v>
      </c>
      <c r="G242" s="3" t="s">
        <v>20</v>
      </c>
      <c r="H242" s="3" t="s">
        <v>78</v>
      </c>
      <c r="I242" s="5">
        <v>9.0</v>
      </c>
      <c r="J242" s="8" t="str">
        <f>IFERROR(IFNA(vlookup(C242,merchants!$A$1:$D$41,2,FALSE),"Merchant not found"), "Merchant not found")</f>
        <v>Merchant_019</v>
      </c>
      <c r="K242" s="8" t="str">
        <f>IFERROR(IFNA(vlookup(C242,merchants!$A$1:$D$41,3,FALSE),"Merchant not found"), "Merchant not found")</f>
        <v>grocery</v>
      </c>
      <c r="L242" s="8" t="str">
        <f>IFERROR(IFNA(vlookup(C242,merchants!$A$1:$D$41,4,FALSE),"Merchant not found"), "Merchant not found")</f>
        <v>North</v>
      </c>
      <c r="M242" s="8">
        <f>IFERROR(IFNA(hlookup(G242,payment_methods!$A$1:$E$2,2,FALSE),"Payment method not found"), "Payment method not found")</f>
        <v>0</v>
      </c>
      <c r="N242" s="8">
        <f t="shared" si="2"/>
        <v>398</v>
      </c>
      <c r="O242" s="8" t="str">
        <f t="shared" si="3"/>
        <v>Normal</v>
      </c>
    </row>
    <row r="243" ht="15.75" customHeight="1">
      <c r="A243" s="3" t="s">
        <v>360</v>
      </c>
      <c r="B243" s="5">
        <v>305.0</v>
      </c>
      <c r="C243" s="5">
        <v>33.0</v>
      </c>
      <c r="D243" s="9">
        <v>46043.11041666667</v>
      </c>
      <c r="E243" s="10">
        <f t="shared" si="1"/>
        <v>46043</v>
      </c>
      <c r="F243" s="5">
        <v>299.0</v>
      </c>
      <c r="G243" s="3" t="s">
        <v>22</v>
      </c>
      <c r="H243" s="3" t="s">
        <v>48</v>
      </c>
      <c r="I243" s="5">
        <v>49.0</v>
      </c>
      <c r="J243" s="8" t="str">
        <f>IFERROR(IFNA(vlookup(C243,merchants!$A$1:$D$41,2,FALSE),"Merchant not found"), "Merchant not found")</f>
        <v>Merchant_033</v>
      </c>
      <c r="K243" s="8" t="str">
        <f>IFERROR(IFNA(vlookup(C243,merchants!$A$1:$D$41,3,FALSE),"Merchant not found"), "Merchant not found")</f>
        <v>bill_payment</v>
      </c>
      <c r="L243" s="8" t="str">
        <f>IFERROR(IFNA(vlookup(C243,merchants!$A$1:$D$41,4,FALSE),"Merchant not found"), "Merchant not found")</f>
        <v>East</v>
      </c>
      <c r="M243" s="8">
        <f>IFERROR(IFNA(hlookup(G243,payment_methods!$A$1:$E$2,2,FALSE),"Payment method not found"), "Payment method not found")</f>
        <v>0.01</v>
      </c>
      <c r="N243" s="8">
        <f t="shared" si="2"/>
        <v>3298</v>
      </c>
      <c r="O243" s="8" t="str">
        <f t="shared" si="3"/>
        <v>Normal</v>
      </c>
    </row>
    <row r="244" ht="15.75" customHeight="1">
      <c r="A244" s="3" t="s">
        <v>361</v>
      </c>
      <c r="B244" s="5">
        <v>22.0</v>
      </c>
      <c r="C244" s="5">
        <v>29.0</v>
      </c>
      <c r="D244" s="9">
        <v>46037.774305555555</v>
      </c>
      <c r="E244" s="10">
        <f t="shared" si="1"/>
        <v>46037</v>
      </c>
      <c r="F244" s="5">
        <v>799.0</v>
      </c>
      <c r="G244" s="3" t="s">
        <v>20</v>
      </c>
      <c r="H244" s="3" t="s">
        <v>48</v>
      </c>
      <c r="I244" s="5">
        <v>73.0</v>
      </c>
      <c r="J244" s="8" t="str">
        <f>IFERROR(IFNA(vlookup(C244,merchants!$A$1:$D$41,2,FALSE),"Merchant not found"), "Merchant not found")</f>
        <v>Merchant_029</v>
      </c>
      <c r="K244" s="8" t="str">
        <f>IFERROR(IFNA(vlookup(C244,merchants!$A$1:$D$41,3,FALSE),"Merchant not found"), "Merchant not found")</f>
        <v>ecommerce</v>
      </c>
      <c r="L244" s="8" t="str">
        <f>IFERROR(IFNA(vlookup(C244,merchants!$A$1:$D$41,4,FALSE),"Merchant not found"), "Merchant not found")</f>
        <v>North</v>
      </c>
      <c r="M244" s="8">
        <f>IFERROR(IFNA(hlookup(G244,payment_methods!$A$1:$E$2,2,FALSE),"Payment method not found"), "Payment method not found")</f>
        <v>0</v>
      </c>
      <c r="N244" s="8">
        <f t="shared" si="2"/>
        <v>1098</v>
      </c>
      <c r="O244" s="8" t="str">
        <f t="shared" si="3"/>
        <v>Normal</v>
      </c>
    </row>
    <row r="245" ht="15.75" customHeight="1">
      <c r="A245" s="3" t="s">
        <v>362</v>
      </c>
      <c r="B245" s="5">
        <v>310.0</v>
      </c>
      <c r="C245" s="5">
        <v>31.0</v>
      </c>
      <c r="D245" s="9">
        <v>46043.26388888889</v>
      </c>
      <c r="E245" s="10">
        <f t="shared" si="1"/>
        <v>46043</v>
      </c>
      <c r="F245" s="5">
        <v>49.0</v>
      </c>
      <c r="G245" s="3" t="s">
        <v>22</v>
      </c>
      <c r="H245" s="3" t="s">
        <v>48</v>
      </c>
      <c r="I245" s="5">
        <v>64.0</v>
      </c>
      <c r="J245" s="8" t="str">
        <f>IFERROR(IFNA(vlookup(C245,merchants!$A$1:$D$41,2,FALSE),"Merchant not found"), "Merchant not found")</f>
        <v>Merchant_031</v>
      </c>
      <c r="K245" s="8" t="str">
        <f>IFERROR(IFNA(vlookup(C245,merchants!$A$1:$D$41,3,FALSE),"Merchant not found"), "Merchant not found")</f>
        <v>bill_payment</v>
      </c>
      <c r="L245" s="8" t="str">
        <f>IFERROR(IFNA(vlookup(C245,merchants!$A$1:$D$41,4,FALSE),"Merchant not found"), "Merchant not found")</f>
        <v>East</v>
      </c>
      <c r="M245" s="8">
        <f>IFERROR(IFNA(hlookup(G245,payment_methods!$A$1:$E$2,2,FALSE),"Payment method not found"), "Payment method not found")</f>
        <v>0.01</v>
      </c>
      <c r="N245" s="8">
        <f t="shared" si="2"/>
        <v>49</v>
      </c>
      <c r="O245" s="8" t="str">
        <f t="shared" si="3"/>
        <v>Normal</v>
      </c>
    </row>
    <row r="246" ht="15.75" customHeight="1">
      <c r="A246" s="3" t="s">
        <v>363</v>
      </c>
      <c r="B246" s="5">
        <v>53.0</v>
      </c>
      <c r="C246" s="5">
        <v>22.0</v>
      </c>
      <c r="D246" s="9">
        <v>46027.061111111114</v>
      </c>
      <c r="E246" s="10">
        <f t="shared" si="1"/>
        <v>46027</v>
      </c>
      <c r="F246" s="5">
        <v>299.0</v>
      </c>
      <c r="G246" s="3" t="s">
        <v>20</v>
      </c>
      <c r="H246" s="3" t="s">
        <v>48</v>
      </c>
      <c r="I246" s="5">
        <v>91.0</v>
      </c>
      <c r="J246" s="8" t="str">
        <f>IFERROR(IFNA(vlookup(C246,merchants!$A$1:$D$41,2,FALSE),"Merchant not found"), "Merchant not found")</f>
        <v>Merchant_022</v>
      </c>
      <c r="K246" s="8" t="str">
        <f>IFERROR(IFNA(vlookup(C246,merchants!$A$1:$D$41,3,FALSE),"Merchant not found"), "Merchant not found")</f>
        <v>travel</v>
      </c>
      <c r="L246" s="8" t="str">
        <f>IFERROR(IFNA(vlookup(C246,merchants!$A$1:$D$41,4,FALSE),"Merchant not found"), "Merchant not found")</f>
        <v>South</v>
      </c>
      <c r="M246" s="8">
        <f>IFERROR(IFNA(hlookup(G246,payment_methods!$A$1:$E$2,2,FALSE),"Payment method not found"), "Payment method not found")</f>
        <v>0</v>
      </c>
      <c r="N246" s="8">
        <f t="shared" si="2"/>
        <v>448</v>
      </c>
      <c r="O246" s="8" t="str">
        <f t="shared" si="3"/>
        <v>Normal</v>
      </c>
    </row>
    <row r="247" ht="15.75" customHeight="1">
      <c r="A247" s="3" t="s">
        <v>364</v>
      </c>
      <c r="B247" s="5">
        <v>89.0</v>
      </c>
      <c r="C247" s="5">
        <v>3.0</v>
      </c>
      <c r="D247" s="9">
        <v>46025.69513888889</v>
      </c>
      <c r="E247" s="10">
        <f t="shared" si="1"/>
        <v>46025</v>
      </c>
      <c r="F247" s="5">
        <v>149.0</v>
      </c>
      <c r="G247" s="3" t="s">
        <v>22</v>
      </c>
      <c r="H247" s="3" t="s">
        <v>48</v>
      </c>
      <c r="I247" s="5">
        <v>31.0</v>
      </c>
      <c r="J247" s="8" t="str">
        <f>IFERROR(IFNA(vlookup(C247,merchants!$A$1:$D$41,2,FALSE),"Merchant not found"), "Merchant not found")</f>
        <v>Merchant_003</v>
      </c>
      <c r="K247" s="8" t="str">
        <f>IFERROR(IFNA(vlookup(C247,merchants!$A$1:$D$41,3,FALSE),"Merchant not found"), "Merchant not found")</f>
        <v>grocery</v>
      </c>
      <c r="L247" s="8" t="str">
        <f>IFERROR(IFNA(vlookup(C247,merchants!$A$1:$D$41,4,FALSE),"Merchant not found"), "Merchant not found")</f>
        <v>East</v>
      </c>
      <c r="M247" s="8">
        <f>IFERROR(IFNA(hlookup(G247,payment_methods!$A$1:$E$2,2,FALSE),"Payment method not found"), "Payment method not found")</f>
        <v>0.01</v>
      </c>
      <c r="N247" s="8">
        <f t="shared" si="2"/>
        <v>198</v>
      </c>
      <c r="O247" s="8" t="str">
        <f t="shared" si="3"/>
        <v>Normal</v>
      </c>
    </row>
    <row r="248" ht="15.75" customHeight="1">
      <c r="A248" s="3" t="s">
        <v>365</v>
      </c>
      <c r="B248" s="5">
        <v>269.0</v>
      </c>
      <c r="C248" s="5">
        <v>34.0</v>
      </c>
      <c r="D248" s="9">
        <v>46045.60277777778</v>
      </c>
      <c r="E248" s="10">
        <f t="shared" si="1"/>
        <v>46045</v>
      </c>
      <c r="F248" s="5">
        <v>149.0</v>
      </c>
      <c r="G248" s="3" t="s">
        <v>20</v>
      </c>
      <c r="H248" s="3" t="s">
        <v>48</v>
      </c>
      <c r="I248" s="5">
        <v>78.0</v>
      </c>
      <c r="J248" s="8" t="str">
        <f>IFERROR(IFNA(vlookup(C248,merchants!$A$1:$D$41,2,FALSE),"Merchant not found"), "Merchant not found")</f>
        <v>Merchant_034</v>
      </c>
      <c r="K248" s="8" t="str">
        <f>IFERROR(IFNA(vlookup(C248,merchants!$A$1:$D$41,3,FALSE),"Merchant not found"), "Merchant not found")</f>
        <v>travel</v>
      </c>
      <c r="L248" s="8" t="str">
        <f>IFERROR(IFNA(vlookup(C248,merchants!$A$1:$D$41,4,FALSE),"Merchant not found"), "Merchant not found")</f>
        <v>South</v>
      </c>
      <c r="M248" s="8">
        <f>IFERROR(IFNA(hlookup(G248,payment_methods!$A$1:$E$2,2,FALSE),"Payment method not found"), "Payment method not found")</f>
        <v>0</v>
      </c>
      <c r="N248" s="8">
        <f t="shared" si="2"/>
        <v>3148</v>
      </c>
      <c r="O248" s="8" t="str">
        <f t="shared" si="3"/>
        <v>Normal</v>
      </c>
    </row>
    <row r="249" ht="15.75" customHeight="1">
      <c r="A249" s="3" t="s">
        <v>366</v>
      </c>
      <c r="B249" s="5">
        <v>145.0</v>
      </c>
      <c r="C249" s="5">
        <v>25.0</v>
      </c>
      <c r="D249" s="9">
        <v>46028.47430555556</v>
      </c>
      <c r="E249" s="10">
        <f t="shared" si="1"/>
        <v>46028</v>
      </c>
      <c r="F249" s="5">
        <v>799.0</v>
      </c>
      <c r="G249" s="3" t="s">
        <v>20</v>
      </c>
      <c r="H249" s="3" t="s">
        <v>48</v>
      </c>
      <c r="I249" s="5">
        <v>52.0</v>
      </c>
      <c r="J249" s="8" t="str">
        <f>IFERROR(IFNA(vlookup(C249,merchants!$A$1:$D$41,2,FALSE),"Merchant not found"), "Merchant not found")</f>
        <v>Merchant_025</v>
      </c>
      <c r="K249" s="8" t="str">
        <f>IFERROR(IFNA(vlookup(C249,merchants!$A$1:$D$41,3,FALSE),"Merchant not found"), "Merchant not found")</f>
        <v>travel</v>
      </c>
      <c r="L249" s="8" t="str">
        <f>IFERROR(IFNA(vlookup(C249,merchants!$A$1:$D$41,4,FALSE),"Merchant not found"), "Merchant not found")</f>
        <v>South</v>
      </c>
      <c r="M249" s="8">
        <f>IFERROR(IFNA(hlookup(G249,payment_methods!$A$1:$E$2,2,FALSE),"Payment method not found"), "Payment method not found")</f>
        <v>0</v>
      </c>
      <c r="N249" s="8">
        <f t="shared" si="2"/>
        <v>898</v>
      </c>
      <c r="O249" s="8" t="str">
        <f t="shared" si="3"/>
        <v>Normal</v>
      </c>
    </row>
    <row r="250" ht="15.75" customHeight="1">
      <c r="A250" s="3" t="s">
        <v>367</v>
      </c>
      <c r="B250" s="5">
        <v>307.0</v>
      </c>
      <c r="C250" s="5">
        <v>4.0</v>
      </c>
      <c r="D250" s="9">
        <v>46047.44652777778</v>
      </c>
      <c r="E250" s="10">
        <f t="shared" si="1"/>
        <v>46047</v>
      </c>
      <c r="F250" s="5">
        <v>1499.0</v>
      </c>
      <c r="G250" s="3" t="s">
        <v>20</v>
      </c>
      <c r="H250" s="3" t="s">
        <v>48</v>
      </c>
      <c r="I250" s="5">
        <v>80.0</v>
      </c>
      <c r="J250" s="8" t="str">
        <f>IFERROR(IFNA(vlookup(C250,merchants!$A$1:$D$41,2,FALSE),"Merchant not found"), "Merchant not found")</f>
        <v>Merchant_004</v>
      </c>
      <c r="K250" s="8" t="str">
        <f>IFERROR(IFNA(vlookup(C250,merchants!$A$1:$D$41,3,FALSE),"Merchant not found"), "Merchant not found")</f>
        <v>ecommerce</v>
      </c>
      <c r="L250" s="8" t="str">
        <f>IFERROR(IFNA(vlookup(C250,merchants!$A$1:$D$41,4,FALSE),"Merchant not found"), "Merchant not found")</f>
        <v>East</v>
      </c>
      <c r="M250" s="8">
        <f>IFERROR(IFNA(hlookup(G250,payment_methods!$A$1:$E$2,2,FALSE),"Payment method not found"), "Payment method not found")</f>
        <v>0</v>
      </c>
      <c r="N250" s="8">
        <f t="shared" si="2"/>
        <v>1998</v>
      </c>
      <c r="O250" s="8" t="str">
        <f t="shared" si="3"/>
        <v>Normal</v>
      </c>
    </row>
    <row r="251" ht="15.75" customHeight="1">
      <c r="A251" s="3" t="s">
        <v>368</v>
      </c>
      <c r="B251" s="5">
        <v>169.0</v>
      </c>
      <c r="C251" s="5">
        <v>7.0</v>
      </c>
      <c r="D251" s="9">
        <v>46043.419444444444</v>
      </c>
      <c r="E251" s="10">
        <f t="shared" si="1"/>
        <v>46043</v>
      </c>
      <c r="F251" s="5">
        <v>1499.0</v>
      </c>
      <c r="G251" s="3" t="s">
        <v>15</v>
      </c>
      <c r="H251" s="3" t="s">
        <v>48</v>
      </c>
      <c r="I251" s="5">
        <v>71.0</v>
      </c>
      <c r="J251" s="8" t="str">
        <f>IFERROR(IFNA(vlookup(C251,merchants!$A$1:$D$41,2,FALSE),"Merchant not found"), "Merchant not found")</f>
        <v>Merchant_007</v>
      </c>
      <c r="K251" s="8" t="str">
        <f>IFERROR(IFNA(vlookup(C251,merchants!$A$1:$D$41,3,FALSE),"Merchant not found"), "Merchant not found")</f>
        <v>food_delivery</v>
      </c>
      <c r="L251" s="8" t="str">
        <f>IFERROR(IFNA(vlookup(C251,merchants!$A$1:$D$41,4,FALSE),"Merchant not found"), "Merchant not found")</f>
        <v>East</v>
      </c>
      <c r="M251" s="8">
        <f>IFERROR(IFNA(hlookup(G251,payment_methods!$A$1:$E$2,2,FALSE),"Payment method not found"), "Payment method not found")</f>
        <v>0.0025</v>
      </c>
      <c r="N251" s="8">
        <f t="shared" si="2"/>
        <v>1499</v>
      </c>
      <c r="O251" s="8" t="str">
        <f t="shared" si="3"/>
        <v>Normal</v>
      </c>
    </row>
    <row r="252" ht="15.75" customHeight="1">
      <c r="A252" s="3" t="s">
        <v>369</v>
      </c>
      <c r="B252" s="5">
        <v>130.0</v>
      </c>
      <c r="C252" s="5">
        <v>39.0</v>
      </c>
      <c r="D252" s="9">
        <v>46044.5125</v>
      </c>
      <c r="E252" s="10">
        <f t="shared" si="1"/>
        <v>46044</v>
      </c>
      <c r="F252" s="5">
        <v>2999.0</v>
      </c>
      <c r="G252" s="3" t="s">
        <v>15</v>
      </c>
      <c r="H252" s="3" t="s">
        <v>48</v>
      </c>
      <c r="I252" s="5">
        <v>19.0</v>
      </c>
      <c r="J252" s="8" t="str">
        <f>IFERROR(IFNA(vlookup(C252,merchants!$A$1:$D$41,2,FALSE),"Merchant not found"), "Merchant not found")</f>
        <v>Merchant_039</v>
      </c>
      <c r="K252" s="8" t="str">
        <f>IFERROR(IFNA(vlookup(C252,merchants!$A$1:$D$41,3,FALSE),"Merchant not found"), "Merchant not found")</f>
        <v>entertainment</v>
      </c>
      <c r="L252" s="8" t="str">
        <f>IFERROR(IFNA(vlookup(C252,merchants!$A$1:$D$41,4,FALSE),"Merchant not found"), "Merchant not found")</f>
        <v>North</v>
      </c>
      <c r="M252" s="8">
        <f>IFERROR(IFNA(hlookup(G252,payment_methods!$A$1:$E$2,2,FALSE),"Payment method not found"), "Payment method not found")</f>
        <v>0.0025</v>
      </c>
      <c r="N252" s="8">
        <f t="shared" si="2"/>
        <v>9796</v>
      </c>
      <c r="O252" s="8" t="str">
        <f t="shared" si="3"/>
        <v>High-Value Merchant Day</v>
      </c>
    </row>
    <row r="253" ht="15.75" customHeight="1">
      <c r="A253" s="3" t="s">
        <v>370</v>
      </c>
      <c r="B253" s="5">
        <v>340.0</v>
      </c>
      <c r="C253" s="5">
        <v>10.0</v>
      </c>
      <c r="D253" s="9">
        <v>46033.10902777778</v>
      </c>
      <c r="E253" s="10">
        <f t="shared" si="1"/>
        <v>46033</v>
      </c>
      <c r="F253" s="5">
        <v>49.0</v>
      </c>
      <c r="G253" s="3" t="s">
        <v>22</v>
      </c>
      <c r="H253" s="3" t="s">
        <v>48</v>
      </c>
      <c r="I253" s="5">
        <v>44.0</v>
      </c>
      <c r="J253" s="8" t="str">
        <f>IFERROR(IFNA(vlookup(C253,merchants!$A$1:$D$41,2,FALSE),"Merchant not found"), "Merchant not found")</f>
        <v>Merchant_010</v>
      </c>
      <c r="K253" s="8" t="str">
        <f>IFERROR(IFNA(vlookup(C253,merchants!$A$1:$D$41,3,FALSE),"Merchant not found"), "Merchant not found")</f>
        <v>grocery</v>
      </c>
      <c r="L253" s="8" t="str">
        <f>IFERROR(IFNA(vlookup(C253,merchants!$A$1:$D$41,4,FALSE),"Merchant not found"), "Merchant not found")</f>
        <v>West</v>
      </c>
      <c r="M253" s="8">
        <f>IFERROR(IFNA(hlookup(G253,payment_methods!$A$1:$E$2,2,FALSE),"Payment method not found"), "Payment method not found")</f>
        <v>0.01</v>
      </c>
      <c r="N253" s="8">
        <f t="shared" si="2"/>
        <v>98</v>
      </c>
      <c r="O253" s="8" t="str">
        <f t="shared" si="3"/>
        <v>Normal</v>
      </c>
    </row>
    <row r="254" ht="15.75" customHeight="1">
      <c r="A254" s="3" t="s">
        <v>371</v>
      </c>
      <c r="B254" s="5">
        <v>340.0</v>
      </c>
      <c r="C254" s="5">
        <v>26.0</v>
      </c>
      <c r="D254" s="9">
        <v>46032.86388888889</v>
      </c>
      <c r="E254" s="10">
        <f t="shared" si="1"/>
        <v>46032</v>
      </c>
      <c r="F254" s="5">
        <v>299.0</v>
      </c>
      <c r="G254" s="3" t="s">
        <v>22</v>
      </c>
      <c r="H254" s="3" t="s">
        <v>48</v>
      </c>
      <c r="I254" s="5">
        <v>16.0</v>
      </c>
      <c r="J254" s="8" t="str">
        <f>IFERROR(IFNA(vlookup(C254,merchants!$A$1:$D$41,2,FALSE),"Merchant not found"), "Merchant not found")</f>
        <v>Merchant_026</v>
      </c>
      <c r="K254" s="8" t="str">
        <f>IFERROR(IFNA(vlookup(C254,merchants!$A$1:$D$41,3,FALSE),"Merchant not found"), "Merchant not found")</f>
        <v>food_delivery</v>
      </c>
      <c r="L254" s="8" t="str">
        <f>IFERROR(IFNA(vlookup(C254,merchants!$A$1:$D$41,4,FALSE),"Merchant not found"), "Merchant not found")</f>
        <v>East</v>
      </c>
      <c r="M254" s="8">
        <f>IFERROR(IFNA(hlookup(G254,payment_methods!$A$1:$E$2,2,FALSE),"Payment method not found"), "Payment method not found")</f>
        <v>0.01</v>
      </c>
      <c r="N254" s="8">
        <f t="shared" si="2"/>
        <v>299</v>
      </c>
      <c r="O254" s="8" t="str">
        <f t="shared" si="3"/>
        <v>Normal</v>
      </c>
    </row>
    <row r="255" ht="15.75" customHeight="1">
      <c r="A255" s="3" t="s">
        <v>372</v>
      </c>
      <c r="B255" s="5">
        <v>159.0</v>
      </c>
      <c r="C255" s="5">
        <v>36.0</v>
      </c>
      <c r="D255" s="9">
        <v>46042.92013888889</v>
      </c>
      <c r="E255" s="10">
        <f t="shared" si="1"/>
        <v>46042</v>
      </c>
      <c r="F255" s="5">
        <v>49.0</v>
      </c>
      <c r="G255" s="3" t="s">
        <v>20</v>
      </c>
      <c r="H255" s="3" t="s">
        <v>48</v>
      </c>
      <c r="I255" s="5">
        <v>48.0</v>
      </c>
      <c r="J255" s="8" t="str">
        <f>IFERROR(IFNA(vlookup(C255,merchants!$A$1:$D$41,2,FALSE),"Merchant not found"), "Merchant not found")</f>
        <v>Merchant_036</v>
      </c>
      <c r="K255" s="8" t="str">
        <f>IFERROR(IFNA(vlookup(C255,merchants!$A$1:$D$41,3,FALSE),"Merchant not found"), "Merchant not found")</f>
        <v>entertainment</v>
      </c>
      <c r="L255" s="8" t="str">
        <f>IFERROR(IFNA(vlookup(C255,merchants!$A$1:$D$41,4,FALSE),"Merchant not found"), "Merchant not found")</f>
        <v>East</v>
      </c>
      <c r="M255" s="8">
        <f>IFERROR(IFNA(hlookup(G255,payment_methods!$A$1:$E$2,2,FALSE),"Payment method not found"), "Payment method not found")</f>
        <v>0</v>
      </c>
      <c r="N255" s="8">
        <f t="shared" si="2"/>
        <v>49</v>
      </c>
      <c r="O255" s="8" t="str">
        <f t="shared" si="3"/>
        <v>Normal</v>
      </c>
    </row>
    <row r="256" ht="15.75" customHeight="1">
      <c r="A256" s="3" t="s">
        <v>373</v>
      </c>
      <c r="B256" s="5">
        <v>66.0</v>
      </c>
      <c r="C256" s="5">
        <v>34.0</v>
      </c>
      <c r="D256" s="9">
        <v>46043.45277777778</v>
      </c>
      <c r="E256" s="10">
        <f t="shared" si="1"/>
        <v>46043</v>
      </c>
      <c r="F256" s="5">
        <v>799.0</v>
      </c>
      <c r="G256" s="3" t="s">
        <v>20</v>
      </c>
      <c r="H256" s="3" t="s">
        <v>48</v>
      </c>
      <c r="I256" s="5">
        <v>11.0</v>
      </c>
      <c r="J256" s="8" t="str">
        <f>IFERROR(IFNA(vlookup(C256,merchants!$A$1:$D$41,2,FALSE),"Merchant not found"), "Merchant not found")</f>
        <v>Merchant_034</v>
      </c>
      <c r="K256" s="8" t="str">
        <f>IFERROR(IFNA(vlookup(C256,merchants!$A$1:$D$41,3,FALSE),"Merchant not found"), "Merchant not found")</f>
        <v>travel</v>
      </c>
      <c r="L256" s="8" t="str">
        <f>IFERROR(IFNA(vlookup(C256,merchants!$A$1:$D$41,4,FALSE),"Merchant not found"), "Merchant not found")</f>
        <v>South</v>
      </c>
      <c r="M256" s="8">
        <f>IFERROR(IFNA(hlookup(G256,payment_methods!$A$1:$E$2,2,FALSE),"Payment method not found"), "Payment method not found")</f>
        <v>0</v>
      </c>
      <c r="N256" s="8">
        <f t="shared" si="2"/>
        <v>799</v>
      </c>
      <c r="O256" s="8" t="str">
        <f t="shared" si="3"/>
        <v>Normal</v>
      </c>
    </row>
    <row r="257" ht="15.75" customHeight="1">
      <c r="A257" s="3" t="s">
        <v>374</v>
      </c>
      <c r="B257" s="5">
        <v>261.0</v>
      </c>
      <c r="C257" s="5">
        <v>24.0</v>
      </c>
      <c r="D257" s="9">
        <v>46043.89375</v>
      </c>
      <c r="E257" s="10">
        <f t="shared" si="1"/>
        <v>46043</v>
      </c>
      <c r="F257" s="5">
        <v>799.0</v>
      </c>
      <c r="G257" s="3" t="s">
        <v>22</v>
      </c>
      <c r="H257" s="3" t="s">
        <v>48</v>
      </c>
      <c r="I257" s="5">
        <v>2.0</v>
      </c>
      <c r="J257" s="8" t="str">
        <f>IFERROR(IFNA(vlookup(C257,merchants!$A$1:$D$41,2,FALSE),"Merchant not found"), "Merchant not found")</f>
        <v>Merchant_024</v>
      </c>
      <c r="K257" s="8" t="str">
        <f>IFERROR(IFNA(vlookup(C257,merchants!$A$1:$D$41,3,FALSE),"Merchant not found"), "Merchant not found")</f>
        <v>grocery</v>
      </c>
      <c r="L257" s="8" t="str">
        <f>IFERROR(IFNA(vlookup(C257,merchants!$A$1:$D$41,4,FALSE),"Merchant not found"), "Merchant not found")</f>
        <v>North</v>
      </c>
      <c r="M257" s="8">
        <f>IFERROR(IFNA(hlookup(G257,payment_methods!$A$1:$E$2,2,FALSE),"Payment method not found"), "Payment method not found")</f>
        <v>0.01</v>
      </c>
      <c r="N257" s="8">
        <f t="shared" si="2"/>
        <v>799</v>
      </c>
      <c r="O257" s="8" t="str">
        <f t="shared" si="3"/>
        <v>Normal</v>
      </c>
    </row>
    <row r="258" ht="15.75" customHeight="1">
      <c r="A258" s="3" t="s">
        <v>375</v>
      </c>
      <c r="B258" s="5">
        <v>110.0</v>
      </c>
      <c r="C258" s="5">
        <v>22.0</v>
      </c>
      <c r="D258" s="9">
        <v>46034.38263888889</v>
      </c>
      <c r="E258" s="10">
        <f t="shared" si="1"/>
        <v>46034</v>
      </c>
      <c r="F258" s="5">
        <v>799.0</v>
      </c>
      <c r="G258" s="3" t="s">
        <v>20</v>
      </c>
      <c r="H258" s="3" t="s">
        <v>48</v>
      </c>
      <c r="I258" s="5">
        <v>98.0</v>
      </c>
      <c r="J258" s="8" t="str">
        <f>IFERROR(IFNA(vlookup(C258,merchants!$A$1:$D$41,2,FALSE),"Merchant not found"), "Merchant not found")</f>
        <v>Merchant_022</v>
      </c>
      <c r="K258" s="8" t="str">
        <f>IFERROR(IFNA(vlookup(C258,merchants!$A$1:$D$41,3,FALSE),"Merchant not found"), "Merchant not found")</f>
        <v>travel</v>
      </c>
      <c r="L258" s="8" t="str">
        <f>IFERROR(IFNA(vlookup(C258,merchants!$A$1:$D$41,4,FALSE),"Merchant not found"), "Merchant not found")</f>
        <v>South</v>
      </c>
      <c r="M258" s="8">
        <f>IFERROR(IFNA(hlookup(G258,payment_methods!$A$1:$E$2,2,FALSE),"Payment method not found"), "Payment method not found")</f>
        <v>0</v>
      </c>
      <c r="N258" s="8">
        <f t="shared" si="2"/>
        <v>1697</v>
      </c>
      <c r="O258" s="8" t="str">
        <f t="shared" si="3"/>
        <v>Normal</v>
      </c>
    </row>
    <row r="259" ht="15.75" customHeight="1">
      <c r="A259" s="3" t="s">
        <v>376</v>
      </c>
      <c r="B259" s="5">
        <v>71.0</v>
      </c>
      <c r="C259" s="5">
        <v>10.0</v>
      </c>
      <c r="D259" s="9">
        <v>46038.259722222225</v>
      </c>
      <c r="E259" s="10">
        <f t="shared" si="1"/>
        <v>46038</v>
      </c>
      <c r="F259" s="5">
        <v>49.0</v>
      </c>
      <c r="G259" s="3" t="s">
        <v>20</v>
      </c>
      <c r="H259" s="3" t="s">
        <v>48</v>
      </c>
      <c r="I259" s="5">
        <v>9.0</v>
      </c>
      <c r="J259" s="8" t="str">
        <f>IFERROR(IFNA(vlookup(C259,merchants!$A$1:$D$41,2,FALSE),"Merchant not found"), "Merchant not found")</f>
        <v>Merchant_010</v>
      </c>
      <c r="K259" s="8" t="str">
        <f>IFERROR(IFNA(vlookup(C259,merchants!$A$1:$D$41,3,FALSE),"Merchant not found"), "Merchant not found")</f>
        <v>grocery</v>
      </c>
      <c r="L259" s="8" t="str">
        <f>IFERROR(IFNA(vlookup(C259,merchants!$A$1:$D$41,4,FALSE),"Merchant not found"), "Merchant not found")</f>
        <v>West</v>
      </c>
      <c r="M259" s="8">
        <f>IFERROR(IFNA(hlookup(G259,payment_methods!$A$1:$E$2,2,FALSE),"Payment method not found"), "Payment method not found")</f>
        <v>0</v>
      </c>
      <c r="N259" s="8">
        <f t="shared" si="2"/>
        <v>49</v>
      </c>
      <c r="O259" s="8" t="str">
        <f t="shared" si="3"/>
        <v>Normal</v>
      </c>
    </row>
    <row r="260" ht="15.75" customHeight="1">
      <c r="A260" s="3" t="s">
        <v>377</v>
      </c>
      <c r="B260" s="5">
        <v>277.0</v>
      </c>
      <c r="C260" s="5">
        <v>34.0</v>
      </c>
      <c r="D260" s="9">
        <v>46032.14722222222</v>
      </c>
      <c r="E260" s="10">
        <f t="shared" si="1"/>
        <v>46032</v>
      </c>
      <c r="F260" s="5">
        <v>49.0</v>
      </c>
      <c r="G260" s="3" t="s">
        <v>20</v>
      </c>
      <c r="H260" s="3" t="s">
        <v>48</v>
      </c>
      <c r="I260" s="5">
        <v>4.0</v>
      </c>
      <c r="J260" s="8" t="str">
        <f>IFERROR(IFNA(vlookup(C260,merchants!$A$1:$D$41,2,FALSE),"Merchant not found"), "Merchant not found")</f>
        <v>Merchant_034</v>
      </c>
      <c r="K260" s="8" t="str">
        <f>IFERROR(IFNA(vlookup(C260,merchants!$A$1:$D$41,3,FALSE),"Merchant not found"), "Merchant not found")</f>
        <v>travel</v>
      </c>
      <c r="L260" s="8" t="str">
        <f>IFERROR(IFNA(vlookup(C260,merchants!$A$1:$D$41,4,FALSE),"Merchant not found"), "Merchant not found")</f>
        <v>South</v>
      </c>
      <c r="M260" s="8">
        <f>IFERROR(IFNA(hlookup(G260,payment_methods!$A$1:$E$2,2,FALSE),"Payment method not found"), "Payment method not found")</f>
        <v>0</v>
      </c>
      <c r="N260" s="8">
        <f t="shared" si="2"/>
        <v>49</v>
      </c>
      <c r="O260" s="8" t="str">
        <f t="shared" si="3"/>
        <v>Normal</v>
      </c>
    </row>
    <row r="261" ht="15.75" customHeight="1">
      <c r="A261" s="3" t="s">
        <v>378</v>
      </c>
      <c r="B261" s="5">
        <v>317.0</v>
      </c>
      <c r="C261" s="5">
        <v>9.0</v>
      </c>
      <c r="D261" s="9">
        <v>46044.455555555556</v>
      </c>
      <c r="E261" s="10">
        <f t="shared" si="1"/>
        <v>46044</v>
      </c>
      <c r="F261" s="5">
        <v>499.0</v>
      </c>
      <c r="G261" s="3" t="s">
        <v>15</v>
      </c>
      <c r="H261" s="3" t="s">
        <v>48</v>
      </c>
      <c r="I261" s="5">
        <v>76.0</v>
      </c>
      <c r="J261" s="8" t="str">
        <f>IFERROR(IFNA(vlookup(C261,merchants!$A$1:$D$41,2,FALSE),"Merchant not found"), "Merchant not found")</f>
        <v>Merchant_009</v>
      </c>
      <c r="K261" s="8" t="str">
        <f>IFERROR(IFNA(vlookup(C261,merchants!$A$1:$D$41,3,FALSE),"Merchant not found"), "Merchant not found")</f>
        <v>ecommerce</v>
      </c>
      <c r="L261" s="8" t="str">
        <f>IFERROR(IFNA(vlookup(C261,merchants!$A$1:$D$41,4,FALSE),"Merchant not found"), "Merchant not found")</f>
        <v>North</v>
      </c>
      <c r="M261" s="8">
        <f>IFERROR(IFNA(hlookup(G261,payment_methods!$A$1:$E$2,2,FALSE),"Payment method not found"), "Payment method not found")</f>
        <v>0.0025</v>
      </c>
      <c r="N261" s="8">
        <f t="shared" si="2"/>
        <v>1298</v>
      </c>
      <c r="O261" s="8" t="str">
        <f t="shared" si="3"/>
        <v>Normal</v>
      </c>
    </row>
    <row r="262" ht="15.75" customHeight="1">
      <c r="A262" s="3" t="s">
        <v>379</v>
      </c>
      <c r="B262" s="5">
        <v>93.0</v>
      </c>
      <c r="C262" s="5">
        <v>40.0</v>
      </c>
      <c r="D262" s="9">
        <v>46035.17361111111</v>
      </c>
      <c r="E262" s="10">
        <f t="shared" si="1"/>
        <v>46035</v>
      </c>
      <c r="F262" s="5">
        <v>299.0</v>
      </c>
      <c r="G262" s="3" t="s">
        <v>20</v>
      </c>
      <c r="H262" s="3" t="s">
        <v>48</v>
      </c>
      <c r="I262" s="5">
        <v>21.0</v>
      </c>
      <c r="J262" s="8" t="str">
        <f>IFERROR(IFNA(vlookup(C262,merchants!$A$1:$D$41,2,FALSE),"Merchant not found"), "Merchant not found")</f>
        <v>Merchant_040</v>
      </c>
      <c r="K262" s="8" t="str">
        <f>IFERROR(IFNA(vlookup(C262,merchants!$A$1:$D$41,3,FALSE),"Merchant not found"), "Merchant not found")</f>
        <v>entertainment</v>
      </c>
      <c r="L262" s="8" t="str">
        <f>IFERROR(IFNA(vlookup(C262,merchants!$A$1:$D$41,4,FALSE),"Merchant not found"), "Merchant not found")</f>
        <v>South</v>
      </c>
      <c r="M262" s="8">
        <f>IFERROR(IFNA(hlookup(G262,payment_methods!$A$1:$E$2,2,FALSE),"Payment method not found"), "Payment method not found")</f>
        <v>0</v>
      </c>
      <c r="N262" s="8">
        <f t="shared" si="2"/>
        <v>299</v>
      </c>
      <c r="O262" s="8" t="str">
        <f t="shared" si="3"/>
        <v>Normal</v>
      </c>
    </row>
    <row r="263" ht="15.75" customHeight="1">
      <c r="A263" s="3" t="s">
        <v>380</v>
      </c>
      <c r="B263" s="5">
        <v>211.0</v>
      </c>
      <c r="C263" s="5">
        <v>24.0</v>
      </c>
      <c r="D263" s="9">
        <v>46046.58472222222</v>
      </c>
      <c r="E263" s="10">
        <f t="shared" si="1"/>
        <v>46046</v>
      </c>
      <c r="F263" s="5">
        <v>99.0</v>
      </c>
      <c r="G263" s="3" t="s">
        <v>25</v>
      </c>
      <c r="H263" s="3" t="s">
        <v>48</v>
      </c>
      <c r="I263" s="5">
        <v>86.0</v>
      </c>
      <c r="J263" s="8" t="str">
        <f>IFERROR(IFNA(vlookup(C263,merchants!$A$1:$D$41,2,FALSE),"Merchant not found"), "Merchant not found")</f>
        <v>Merchant_024</v>
      </c>
      <c r="K263" s="8" t="str">
        <f>IFERROR(IFNA(vlookup(C263,merchants!$A$1:$D$41,3,FALSE),"Merchant not found"), "Merchant not found")</f>
        <v>grocery</v>
      </c>
      <c r="L263" s="8" t="str">
        <f>IFERROR(IFNA(vlookup(C263,merchants!$A$1:$D$41,4,FALSE),"Merchant not found"), "Merchant not found")</f>
        <v>North</v>
      </c>
      <c r="M263" s="8">
        <f>IFERROR(IFNA(hlookup(G263,payment_methods!$A$1:$E$2,2,FALSE),"Payment method not found"), "Payment method not found")</f>
        <v>0.005</v>
      </c>
      <c r="N263" s="8">
        <f t="shared" si="2"/>
        <v>148</v>
      </c>
      <c r="O263" s="8" t="str">
        <f t="shared" si="3"/>
        <v>Normal</v>
      </c>
    </row>
    <row r="264" ht="15.75" customHeight="1">
      <c r="A264" s="3" t="s">
        <v>381</v>
      </c>
      <c r="B264" s="5">
        <v>313.0</v>
      </c>
      <c r="C264" s="5">
        <v>19.0</v>
      </c>
      <c r="D264" s="9">
        <v>46046.311111111114</v>
      </c>
      <c r="E264" s="10">
        <f t="shared" si="1"/>
        <v>46046</v>
      </c>
      <c r="F264" s="5">
        <v>149.0</v>
      </c>
      <c r="G264" s="3" t="s">
        <v>20</v>
      </c>
      <c r="H264" s="3" t="s">
        <v>48</v>
      </c>
      <c r="I264" s="5">
        <v>96.0</v>
      </c>
      <c r="J264" s="8" t="str">
        <f>IFERROR(IFNA(vlookup(C264,merchants!$A$1:$D$41,2,FALSE),"Merchant not found"), "Merchant not found")</f>
        <v>Merchant_019</v>
      </c>
      <c r="K264" s="8" t="str">
        <f>IFERROR(IFNA(vlookup(C264,merchants!$A$1:$D$41,3,FALSE),"Merchant not found"), "Merchant not found")</f>
        <v>grocery</v>
      </c>
      <c r="L264" s="8" t="str">
        <f>IFERROR(IFNA(vlookup(C264,merchants!$A$1:$D$41,4,FALSE),"Merchant not found"), "Merchant not found")</f>
        <v>North</v>
      </c>
      <c r="M264" s="8">
        <f>IFERROR(IFNA(hlookup(G264,payment_methods!$A$1:$E$2,2,FALSE),"Payment method not found"), "Payment method not found")</f>
        <v>0</v>
      </c>
      <c r="N264" s="8">
        <f t="shared" si="2"/>
        <v>149</v>
      </c>
      <c r="O264" s="8" t="str">
        <f t="shared" si="3"/>
        <v>Normal</v>
      </c>
    </row>
    <row r="265" ht="15.75" customHeight="1">
      <c r="A265" s="3" t="s">
        <v>382</v>
      </c>
      <c r="B265" s="5">
        <v>274.0</v>
      </c>
      <c r="C265" s="5">
        <v>16.0</v>
      </c>
      <c r="D265" s="9">
        <v>46046.59305555555</v>
      </c>
      <c r="E265" s="10">
        <f t="shared" si="1"/>
        <v>46046</v>
      </c>
      <c r="F265" s="5">
        <v>49.0</v>
      </c>
      <c r="G265" s="3" t="s">
        <v>15</v>
      </c>
      <c r="H265" s="3" t="s">
        <v>78</v>
      </c>
      <c r="I265" s="5">
        <v>39.0</v>
      </c>
      <c r="J265" s="8" t="str">
        <f>IFERROR(IFNA(vlookup(C265,merchants!$A$1:$D$41,2,FALSE),"Merchant not found"), "Merchant not found")</f>
        <v>Merchant_016</v>
      </c>
      <c r="K265" s="8" t="str">
        <f>IFERROR(IFNA(vlookup(C265,merchants!$A$1:$D$41,3,FALSE),"Merchant not found"), "Merchant not found")</f>
        <v>bill_payment</v>
      </c>
      <c r="L265" s="8" t="str">
        <f>IFERROR(IFNA(vlookup(C265,merchants!$A$1:$D$41,4,FALSE),"Merchant not found"), "Merchant not found")</f>
        <v>West</v>
      </c>
      <c r="M265" s="8">
        <f>IFERROR(IFNA(hlookup(G265,payment_methods!$A$1:$E$2,2,FALSE),"Payment method not found"), "Payment method not found")</f>
        <v>0.0025</v>
      </c>
      <c r="N265" s="8">
        <f t="shared" si="2"/>
        <v>1548</v>
      </c>
      <c r="O265" s="8" t="str">
        <f t="shared" si="3"/>
        <v>Normal</v>
      </c>
    </row>
    <row r="266" ht="15.75" customHeight="1">
      <c r="A266" s="3" t="s">
        <v>383</v>
      </c>
      <c r="B266" s="5">
        <v>100.0</v>
      </c>
      <c r="C266" s="5">
        <v>24.0</v>
      </c>
      <c r="D266" s="9">
        <v>46048.66458333333</v>
      </c>
      <c r="E266" s="10">
        <f t="shared" si="1"/>
        <v>46048</v>
      </c>
      <c r="F266" s="5">
        <v>299.0</v>
      </c>
      <c r="G266" s="3" t="s">
        <v>20</v>
      </c>
      <c r="H266" s="3" t="s">
        <v>48</v>
      </c>
      <c r="I266" s="5">
        <v>86.0</v>
      </c>
      <c r="J266" s="8" t="str">
        <f>IFERROR(IFNA(vlookup(C266,merchants!$A$1:$D$41,2,FALSE),"Merchant not found"), "Merchant not found")</f>
        <v>Merchant_024</v>
      </c>
      <c r="K266" s="8" t="str">
        <f>IFERROR(IFNA(vlookup(C266,merchants!$A$1:$D$41,3,FALSE),"Merchant not found"), "Merchant not found")</f>
        <v>grocery</v>
      </c>
      <c r="L266" s="8" t="str">
        <f>IFERROR(IFNA(vlookup(C266,merchants!$A$1:$D$41,4,FALSE),"Merchant not found"), "Merchant not found")</f>
        <v>North</v>
      </c>
      <c r="M266" s="8">
        <f>IFERROR(IFNA(hlookup(G266,payment_methods!$A$1:$E$2,2,FALSE),"Payment method not found"), "Payment method not found")</f>
        <v>0</v>
      </c>
      <c r="N266" s="8">
        <f t="shared" si="2"/>
        <v>348</v>
      </c>
      <c r="O266" s="8" t="str">
        <f t="shared" si="3"/>
        <v>Normal</v>
      </c>
    </row>
    <row r="267" ht="15.75" customHeight="1">
      <c r="A267" s="3" t="s">
        <v>384</v>
      </c>
      <c r="B267" s="5">
        <v>145.0</v>
      </c>
      <c r="C267" s="5">
        <v>25.0</v>
      </c>
      <c r="D267" s="9">
        <v>46041.603472222225</v>
      </c>
      <c r="E267" s="10">
        <f t="shared" si="1"/>
        <v>46041</v>
      </c>
      <c r="F267" s="5">
        <v>2999.0</v>
      </c>
      <c r="G267" s="3" t="s">
        <v>15</v>
      </c>
      <c r="H267" s="3" t="s">
        <v>48</v>
      </c>
      <c r="I267" s="5">
        <v>64.0</v>
      </c>
      <c r="J267" s="8" t="str">
        <f>IFERROR(IFNA(vlookup(C267,merchants!$A$1:$D$41,2,FALSE),"Merchant not found"), "Merchant not found")</f>
        <v>Merchant_025</v>
      </c>
      <c r="K267" s="8" t="str">
        <f>IFERROR(IFNA(vlookup(C267,merchants!$A$1:$D$41,3,FALSE),"Merchant not found"), "Merchant not found")</f>
        <v>travel</v>
      </c>
      <c r="L267" s="8" t="str">
        <f>IFERROR(IFNA(vlookup(C267,merchants!$A$1:$D$41,4,FALSE),"Merchant not found"), "Merchant not found")</f>
        <v>South</v>
      </c>
      <c r="M267" s="8">
        <f>IFERROR(IFNA(hlookup(G267,payment_methods!$A$1:$E$2,2,FALSE),"Payment method not found"), "Payment method not found")</f>
        <v>0.0025</v>
      </c>
      <c r="N267" s="8">
        <f t="shared" si="2"/>
        <v>4498</v>
      </c>
      <c r="O267" s="8" t="str">
        <f t="shared" si="3"/>
        <v>Normal</v>
      </c>
    </row>
    <row r="268" ht="15.75" customHeight="1">
      <c r="A268" s="3" t="s">
        <v>385</v>
      </c>
      <c r="B268" s="5">
        <v>103.0</v>
      </c>
      <c r="C268" s="5">
        <v>39.0</v>
      </c>
      <c r="D268" s="9">
        <v>46039.54861111111</v>
      </c>
      <c r="E268" s="10">
        <f t="shared" si="1"/>
        <v>46039</v>
      </c>
      <c r="F268" s="5">
        <v>2999.0</v>
      </c>
      <c r="G268" s="3" t="s">
        <v>15</v>
      </c>
      <c r="H268" s="3" t="s">
        <v>48</v>
      </c>
      <c r="I268" s="5">
        <v>17.0</v>
      </c>
      <c r="J268" s="8" t="str">
        <f>IFERROR(IFNA(vlookup(C268,merchants!$A$1:$D$41,2,FALSE),"Merchant not found"), "Merchant not found")</f>
        <v>Merchant_039</v>
      </c>
      <c r="K268" s="8" t="str">
        <f>IFERROR(IFNA(vlookup(C268,merchants!$A$1:$D$41,3,FALSE),"Merchant not found"), "Merchant not found")</f>
        <v>entertainment</v>
      </c>
      <c r="L268" s="8" t="str">
        <f>IFERROR(IFNA(vlookup(C268,merchants!$A$1:$D$41,4,FALSE),"Merchant not found"), "Merchant not found")</f>
        <v>North</v>
      </c>
      <c r="M268" s="8">
        <f>IFERROR(IFNA(hlookup(G268,payment_methods!$A$1:$E$2,2,FALSE),"Payment method not found"), "Payment method not found")</f>
        <v>0.0025</v>
      </c>
      <c r="N268" s="8">
        <f t="shared" si="2"/>
        <v>2999</v>
      </c>
      <c r="O268" s="8" t="str">
        <f t="shared" si="3"/>
        <v>Normal</v>
      </c>
    </row>
    <row r="269" ht="15.75" customHeight="1">
      <c r="A269" s="3" t="s">
        <v>386</v>
      </c>
      <c r="B269" s="5">
        <v>329.0</v>
      </c>
      <c r="C269" s="5">
        <v>31.0</v>
      </c>
      <c r="D269" s="9">
        <v>46050.33541666667</v>
      </c>
      <c r="E269" s="10">
        <f t="shared" si="1"/>
        <v>46050</v>
      </c>
      <c r="F269" s="5">
        <v>299.0</v>
      </c>
      <c r="G269" s="3" t="s">
        <v>15</v>
      </c>
      <c r="H269" s="3" t="s">
        <v>48</v>
      </c>
      <c r="I269" s="5">
        <v>47.0</v>
      </c>
      <c r="J269" s="8" t="str">
        <f>IFERROR(IFNA(vlookup(C269,merchants!$A$1:$D$41,2,FALSE),"Merchant not found"), "Merchant not found")</f>
        <v>Merchant_031</v>
      </c>
      <c r="K269" s="8" t="str">
        <f>IFERROR(IFNA(vlookup(C269,merchants!$A$1:$D$41,3,FALSE),"Merchant not found"), "Merchant not found")</f>
        <v>bill_payment</v>
      </c>
      <c r="L269" s="8" t="str">
        <f>IFERROR(IFNA(vlookup(C269,merchants!$A$1:$D$41,4,FALSE),"Merchant not found"), "Merchant not found")</f>
        <v>East</v>
      </c>
      <c r="M269" s="8">
        <f>IFERROR(IFNA(hlookup(G269,payment_methods!$A$1:$E$2,2,FALSE),"Payment method not found"), "Payment method not found")</f>
        <v>0.0025</v>
      </c>
      <c r="N269" s="8">
        <f t="shared" si="2"/>
        <v>299</v>
      </c>
      <c r="O269" s="8" t="str">
        <f t="shared" si="3"/>
        <v>Normal</v>
      </c>
    </row>
    <row r="270" ht="15.75" customHeight="1">
      <c r="A270" s="3" t="s">
        <v>387</v>
      </c>
      <c r="B270" s="5">
        <v>265.0</v>
      </c>
      <c r="C270" s="5">
        <v>8.0</v>
      </c>
      <c r="D270" s="9">
        <v>46040.15625</v>
      </c>
      <c r="E270" s="10">
        <f t="shared" si="1"/>
        <v>46040</v>
      </c>
      <c r="F270" s="5">
        <v>499.0</v>
      </c>
      <c r="G270" s="3" t="s">
        <v>25</v>
      </c>
      <c r="H270" s="3" t="s">
        <v>48</v>
      </c>
      <c r="I270" s="5">
        <v>36.0</v>
      </c>
      <c r="J270" s="8" t="str">
        <f>IFERROR(IFNA(vlookup(C270,merchants!$A$1:$D$41,2,FALSE),"Merchant not found"), "Merchant not found")</f>
        <v>Merchant_008</v>
      </c>
      <c r="K270" s="8" t="str">
        <f>IFERROR(IFNA(vlookup(C270,merchants!$A$1:$D$41,3,FALSE),"Merchant not found"), "Merchant not found")</f>
        <v>food_delivery</v>
      </c>
      <c r="L270" s="8" t="str">
        <f>IFERROR(IFNA(vlookup(C270,merchants!$A$1:$D$41,4,FALSE),"Merchant not found"), "Merchant not found")</f>
        <v>North</v>
      </c>
      <c r="M270" s="8">
        <f>IFERROR(IFNA(hlookup(G270,payment_methods!$A$1:$E$2,2,FALSE),"Payment method not found"), "Payment method not found")</f>
        <v>0.005</v>
      </c>
      <c r="N270" s="8">
        <f t="shared" si="2"/>
        <v>499</v>
      </c>
      <c r="O270" s="8" t="str">
        <f t="shared" si="3"/>
        <v>Normal</v>
      </c>
    </row>
    <row r="271" ht="15.75" customHeight="1">
      <c r="A271" s="3" t="s">
        <v>388</v>
      </c>
      <c r="B271" s="5">
        <v>231.0</v>
      </c>
      <c r="C271" s="5">
        <v>33.0</v>
      </c>
      <c r="D271" s="9">
        <v>46025.220138888886</v>
      </c>
      <c r="E271" s="10">
        <f t="shared" si="1"/>
        <v>46025</v>
      </c>
      <c r="F271" s="5">
        <v>149.0</v>
      </c>
      <c r="G271" s="3" t="s">
        <v>20</v>
      </c>
      <c r="H271" s="3" t="s">
        <v>78</v>
      </c>
      <c r="I271" s="5">
        <v>18.0</v>
      </c>
      <c r="J271" s="8" t="str">
        <f>IFERROR(IFNA(vlookup(C271,merchants!$A$1:$D$41,2,FALSE),"Merchant not found"), "Merchant not found")</f>
        <v>Merchant_033</v>
      </c>
      <c r="K271" s="8" t="str">
        <f>IFERROR(IFNA(vlookup(C271,merchants!$A$1:$D$41,3,FALSE),"Merchant not found"), "Merchant not found")</f>
        <v>bill_payment</v>
      </c>
      <c r="L271" s="8" t="str">
        <f>IFERROR(IFNA(vlookup(C271,merchants!$A$1:$D$41,4,FALSE),"Merchant not found"), "Merchant not found")</f>
        <v>East</v>
      </c>
      <c r="M271" s="8">
        <f>IFERROR(IFNA(hlookup(G271,payment_methods!$A$1:$E$2,2,FALSE),"Payment method not found"), "Payment method not found")</f>
        <v>0</v>
      </c>
      <c r="N271" s="8">
        <f t="shared" si="2"/>
        <v>149</v>
      </c>
      <c r="O271" s="8" t="str">
        <f t="shared" si="3"/>
        <v>Normal</v>
      </c>
    </row>
    <row r="272" ht="15.75" customHeight="1">
      <c r="A272" s="3" t="s">
        <v>389</v>
      </c>
      <c r="B272" s="5">
        <v>114.0</v>
      </c>
      <c r="C272" s="5">
        <v>29.0</v>
      </c>
      <c r="D272" s="9">
        <v>46049.54513888889</v>
      </c>
      <c r="E272" s="10">
        <f t="shared" si="1"/>
        <v>46049</v>
      </c>
      <c r="F272" s="5">
        <v>799.0</v>
      </c>
      <c r="G272" s="3" t="s">
        <v>20</v>
      </c>
      <c r="H272" s="3" t="s">
        <v>81</v>
      </c>
      <c r="I272" s="5">
        <v>44.0</v>
      </c>
      <c r="J272" s="8" t="str">
        <f>IFERROR(IFNA(vlookup(C272,merchants!$A$1:$D$41,2,FALSE),"Merchant not found"), "Merchant not found")</f>
        <v>Merchant_029</v>
      </c>
      <c r="K272" s="8" t="str">
        <f>IFERROR(IFNA(vlookup(C272,merchants!$A$1:$D$41,3,FALSE),"Merchant not found"), "Merchant not found")</f>
        <v>ecommerce</v>
      </c>
      <c r="L272" s="8" t="str">
        <f>IFERROR(IFNA(vlookup(C272,merchants!$A$1:$D$41,4,FALSE),"Merchant not found"), "Merchant not found")</f>
        <v>North</v>
      </c>
      <c r="M272" s="8">
        <f>IFERROR(IFNA(hlookup(G272,payment_methods!$A$1:$E$2,2,FALSE),"Payment method not found"), "Payment method not found")</f>
        <v>0</v>
      </c>
      <c r="N272" s="8">
        <f t="shared" si="2"/>
        <v>898</v>
      </c>
      <c r="O272" s="8" t="str">
        <f t="shared" si="3"/>
        <v>Normal</v>
      </c>
    </row>
    <row r="273" ht="15.75" customHeight="1">
      <c r="A273" s="3" t="s">
        <v>390</v>
      </c>
      <c r="B273" s="5">
        <v>28.0</v>
      </c>
      <c r="C273" s="5">
        <v>26.0</v>
      </c>
      <c r="D273" s="9">
        <v>46052.018055555556</v>
      </c>
      <c r="E273" s="10">
        <f t="shared" si="1"/>
        <v>46052</v>
      </c>
      <c r="F273" s="5">
        <v>1499.0</v>
      </c>
      <c r="G273" s="3" t="s">
        <v>20</v>
      </c>
      <c r="H273" s="3" t="s">
        <v>78</v>
      </c>
      <c r="I273" s="5">
        <v>64.0</v>
      </c>
      <c r="J273" s="8" t="str">
        <f>IFERROR(IFNA(vlookup(C273,merchants!$A$1:$D$41,2,FALSE),"Merchant not found"), "Merchant not found")</f>
        <v>Merchant_026</v>
      </c>
      <c r="K273" s="8" t="str">
        <f>IFERROR(IFNA(vlookup(C273,merchants!$A$1:$D$41,3,FALSE),"Merchant not found"), "Merchant not found")</f>
        <v>food_delivery</v>
      </c>
      <c r="L273" s="8" t="str">
        <f>IFERROR(IFNA(vlookup(C273,merchants!$A$1:$D$41,4,FALSE),"Merchant not found"), "Merchant not found")</f>
        <v>East</v>
      </c>
      <c r="M273" s="8">
        <f>IFERROR(IFNA(hlookup(G273,payment_methods!$A$1:$E$2,2,FALSE),"Payment method not found"), "Payment method not found")</f>
        <v>0</v>
      </c>
      <c r="N273" s="8">
        <f t="shared" si="2"/>
        <v>1499</v>
      </c>
      <c r="O273" s="8" t="str">
        <f t="shared" si="3"/>
        <v>Normal</v>
      </c>
    </row>
    <row r="274" ht="15.75" customHeight="1">
      <c r="A274" s="3" t="s">
        <v>391</v>
      </c>
      <c r="B274" s="5">
        <v>42.0</v>
      </c>
      <c r="C274" s="5">
        <v>24.0</v>
      </c>
      <c r="D274" s="9">
        <v>46034.308333333334</v>
      </c>
      <c r="E274" s="10">
        <f t="shared" si="1"/>
        <v>46034</v>
      </c>
      <c r="F274" s="5">
        <v>149.0</v>
      </c>
      <c r="G274" s="3" t="s">
        <v>20</v>
      </c>
      <c r="H274" s="3" t="s">
        <v>48</v>
      </c>
      <c r="I274" s="5">
        <v>28.0</v>
      </c>
      <c r="J274" s="8" t="str">
        <f>IFERROR(IFNA(vlookup(C274,merchants!$A$1:$D$41,2,FALSE),"Merchant not found"), "Merchant not found")</f>
        <v>Merchant_024</v>
      </c>
      <c r="K274" s="8" t="str">
        <f>IFERROR(IFNA(vlookup(C274,merchants!$A$1:$D$41,3,FALSE),"Merchant not found"), "Merchant not found")</f>
        <v>grocery</v>
      </c>
      <c r="L274" s="8" t="str">
        <f>IFERROR(IFNA(vlookup(C274,merchants!$A$1:$D$41,4,FALSE),"Merchant not found"), "Merchant not found")</f>
        <v>North</v>
      </c>
      <c r="M274" s="8">
        <f>IFERROR(IFNA(hlookup(G274,payment_methods!$A$1:$E$2,2,FALSE),"Payment method not found"), "Payment method not found")</f>
        <v>0</v>
      </c>
      <c r="N274" s="8">
        <f t="shared" si="2"/>
        <v>149</v>
      </c>
      <c r="O274" s="8" t="str">
        <f t="shared" si="3"/>
        <v>Normal</v>
      </c>
    </row>
    <row r="275" ht="15.75" customHeight="1">
      <c r="A275" s="3" t="s">
        <v>392</v>
      </c>
      <c r="B275" s="5">
        <v>51.0</v>
      </c>
      <c r="C275" s="5">
        <v>22.0</v>
      </c>
      <c r="D275" s="9">
        <v>46023.45763888889</v>
      </c>
      <c r="E275" s="10">
        <f t="shared" si="1"/>
        <v>46023</v>
      </c>
      <c r="F275" s="5">
        <v>799.0</v>
      </c>
      <c r="G275" s="3" t="s">
        <v>20</v>
      </c>
      <c r="H275" s="3" t="s">
        <v>48</v>
      </c>
      <c r="I275" s="5">
        <v>18.0</v>
      </c>
      <c r="J275" s="8" t="str">
        <f>IFERROR(IFNA(vlookup(C275,merchants!$A$1:$D$41,2,FALSE),"Merchant not found"), "Merchant not found")</f>
        <v>Merchant_022</v>
      </c>
      <c r="K275" s="8" t="str">
        <f>IFERROR(IFNA(vlookup(C275,merchants!$A$1:$D$41,3,FALSE),"Merchant not found"), "Merchant not found")</f>
        <v>travel</v>
      </c>
      <c r="L275" s="8" t="str">
        <f>IFERROR(IFNA(vlookup(C275,merchants!$A$1:$D$41,4,FALSE),"Merchant not found"), "Merchant not found")</f>
        <v>South</v>
      </c>
      <c r="M275" s="8">
        <f>IFERROR(IFNA(hlookup(G275,payment_methods!$A$1:$E$2,2,FALSE),"Payment method not found"), "Payment method not found")</f>
        <v>0</v>
      </c>
      <c r="N275" s="8">
        <f t="shared" si="2"/>
        <v>799</v>
      </c>
      <c r="O275" s="8" t="str">
        <f t="shared" si="3"/>
        <v>Normal</v>
      </c>
    </row>
    <row r="276" ht="15.75" customHeight="1">
      <c r="A276" s="3" t="s">
        <v>393</v>
      </c>
      <c r="B276" s="5">
        <v>242.0</v>
      </c>
      <c r="C276" s="5">
        <v>9.0</v>
      </c>
      <c r="D276" s="9">
        <v>46027.05416666667</v>
      </c>
      <c r="E276" s="10">
        <f t="shared" si="1"/>
        <v>46027</v>
      </c>
      <c r="F276" s="5">
        <v>149.0</v>
      </c>
      <c r="G276" s="3" t="s">
        <v>20</v>
      </c>
      <c r="H276" s="3" t="s">
        <v>48</v>
      </c>
      <c r="I276" s="5">
        <v>97.0</v>
      </c>
      <c r="J276" s="8" t="str">
        <f>IFERROR(IFNA(vlookup(C276,merchants!$A$1:$D$41,2,FALSE),"Merchant not found"), "Merchant not found")</f>
        <v>Merchant_009</v>
      </c>
      <c r="K276" s="8" t="str">
        <f>IFERROR(IFNA(vlookup(C276,merchants!$A$1:$D$41,3,FALSE),"Merchant not found"), "Merchant not found")</f>
        <v>ecommerce</v>
      </c>
      <c r="L276" s="8" t="str">
        <f>IFERROR(IFNA(vlookup(C276,merchants!$A$1:$D$41,4,FALSE),"Merchant not found"), "Merchant not found")</f>
        <v>North</v>
      </c>
      <c r="M276" s="8">
        <f>IFERROR(IFNA(hlookup(G276,payment_methods!$A$1:$E$2,2,FALSE),"Payment method not found"), "Payment method not found")</f>
        <v>0</v>
      </c>
      <c r="N276" s="8">
        <f t="shared" si="2"/>
        <v>149</v>
      </c>
      <c r="O276" s="8" t="str">
        <f t="shared" si="3"/>
        <v>Normal</v>
      </c>
    </row>
    <row r="277" ht="15.75" customHeight="1">
      <c r="A277" s="3" t="s">
        <v>394</v>
      </c>
      <c r="B277" s="5">
        <v>316.0</v>
      </c>
      <c r="C277" s="5">
        <v>1.0</v>
      </c>
      <c r="D277" s="9">
        <v>46045.64444444444</v>
      </c>
      <c r="E277" s="10">
        <f t="shared" si="1"/>
        <v>46045</v>
      </c>
      <c r="F277" s="5">
        <v>149.0</v>
      </c>
      <c r="G277" s="3" t="s">
        <v>20</v>
      </c>
      <c r="H277" s="3" t="s">
        <v>48</v>
      </c>
      <c r="I277" s="5">
        <v>10.0</v>
      </c>
      <c r="J277" s="8" t="str">
        <f>IFERROR(IFNA(vlookup(C277,merchants!$A$1:$D$41,2,FALSE),"Merchant not found"), "Merchant not found")</f>
        <v>Merchant_001</v>
      </c>
      <c r="K277" s="8" t="str">
        <f>IFERROR(IFNA(vlookup(C277,merchants!$A$1:$D$41,3,FALSE),"Merchant not found"), "Merchant not found")</f>
        <v>ecommerce</v>
      </c>
      <c r="L277" s="8" t="str">
        <f>IFERROR(IFNA(vlookup(C277,merchants!$A$1:$D$41,4,FALSE),"Merchant not found"), "Merchant not found")</f>
        <v>South</v>
      </c>
      <c r="M277" s="8">
        <f>IFERROR(IFNA(hlookup(G277,payment_methods!$A$1:$E$2,2,FALSE),"Payment method not found"), "Payment method not found")</f>
        <v>0</v>
      </c>
      <c r="N277" s="8">
        <f t="shared" si="2"/>
        <v>3148</v>
      </c>
      <c r="O277" s="8" t="str">
        <f t="shared" si="3"/>
        <v>Normal</v>
      </c>
    </row>
    <row r="278" ht="15.75" customHeight="1">
      <c r="A278" s="3" t="s">
        <v>395</v>
      </c>
      <c r="B278" s="5">
        <v>77.0</v>
      </c>
      <c r="C278" s="5">
        <v>36.0</v>
      </c>
      <c r="D278" s="9">
        <v>46023.342361111114</v>
      </c>
      <c r="E278" s="10">
        <f t="shared" si="1"/>
        <v>46023</v>
      </c>
      <c r="F278" s="5">
        <v>149.0</v>
      </c>
      <c r="G278" s="3" t="s">
        <v>20</v>
      </c>
      <c r="H278" s="3" t="s">
        <v>48</v>
      </c>
      <c r="I278" s="5">
        <v>93.0</v>
      </c>
      <c r="J278" s="8" t="str">
        <f>IFERROR(IFNA(vlookup(C278,merchants!$A$1:$D$41,2,FALSE),"Merchant not found"), "Merchant not found")</f>
        <v>Merchant_036</v>
      </c>
      <c r="K278" s="8" t="str">
        <f>IFERROR(IFNA(vlookup(C278,merchants!$A$1:$D$41,3,FALSE),"Merchant not found"), "Merchant not found")</f>
        <v>entertainment</v>
      </c>
      <c r="L278" s="8" t="str">
        <f>IFERROR(IFNA(vlookup(C278,merchants!$A$1:$D$41,4,FALSE),"Merchant not found"), "Merchant not found")</f>
        <v>East</v>
      </c>
      <c r="M278" s="8">
        <f>IFERROR(IFNA(hlookup(G278,payment_methods!$A$1:$E$2,2,FALSE),"Payment method not found"), "Payment method not found")</f>
        <v>0</v>
      </c>
      <c r="N278" s="8">
        <f t="shared" si="2"/>
        <v>149</v>
      </c>
      <c r="O278" s="8" t="str">
        <f t="shared" si="3"/>
        <v>Normal</v>
      </c>
    </row>
    <row r="279" ht="15.75" customHeight="1">
      <c r="A279" s="3" t="s">
        <v>396</v>
      </c>
      <c r="B279" s="5">
        <v>57.0</v>
      </c>
      <c r="C279" s="5">
        <v>19.0</v>
      </c>
      <c r="D279" s="9">
        <v>46042.68541666667</v>
      </c>
      <c r="E279" s="10">
        <f t="shared" si="1"/>
        <v>46042</v>
      </c>
      <c r="F279" s="5">
        <v>49.0</v>
      </c>
      <c r="G279" s="3" t="s">
        <v>20</v>
      </c>
      <c r="H279" s="3" t="s">
        <v>48</v>
      </c>
      <c r="I279" s="5">
        <v>30.0</v>
      </c>
      <c r="J279" s="8" t="str">
        <f>IFERROR(IFNA(vlookup(C279,merchants!$A$1:$D$41,2,FALSE),"Merchant not found"), "Merchant not found")</f>
        <v>Merchant_019</v>
      </c>
      <c r="K279" s="8" t="str">
        <f>IFERROR(IFNA(vlookup(C279,merchants!$A$1:$D$41,3,FALSE),"Merchant not found"), "Merchant not found")</f>
        <v>grocery</v>
      </c>
      <c r="L279" s="8" t="str">
        <f>IFERROR(IFNA(vlookup(C279,merchants!$A$1:$D$41,4,FALSE),"Merchant not found"), "Merchant not found")</f>
        <v>North</v>
      </c>
      <c r="M279" s="8">
        <f>IFERROR(IFNA(hlookup(G279,payment_methods!$A$1:$E$2,2,FALSE),"Payment method not found"), "Payment method not found")</f>
        <v>0</v>
      </c>
      <c r="N279" s="8">
        <f t="shared" si="2"/>
        <v>348</v>
      </c>
      <c r="O279" s="8" t="str">
        <f t="shared" si="3"/>
        <v>Normal</v>
      </c>
    </row>
    <row r="280" ht="15.75" customHeight="1">
      <c r="A280" s="3" t="s">
        <v>397</v>
      </c>
      <c r="B280" s="5">
        <v>123.0</v>
      </c>
      <c r="C280" s="5">
        <v>27.0</v>
      </c>
      <c r="D280" s="9">
        <v>46032.12708333333</v>
      </c>
      <c r="E280" s="10">
        <f t="shared" si="1"/>
        <v>46032</v>
      </c>
      <c r="F280" s="5">
        <v>149.0</v>
      </c>
      <c r="G280" s="3" t="s">
        <v>25</v>
      </c>
      <c r="H280" s="3" t="s">
        <v>48</v>
      </c>
      <c r="I280" s="5">
        <v>81.0</v>
      </c>
      <c r="J280" s="8" t="str">
        <f>IFERROR(IFNA(vlookup(C280,merchants!$A$1:$D$41,2,FALSE),"Merchant not found"), "Merchant not found")</f>
        <v>Merchant_027</v>
      </c>
      <c r="K280" s="8" t="str">
        <f>IFERROR(IFNA(vlookup(C280,merchants!$A$1:$D$41,3,FALSE),"Merchant not found"), "Merchant not found")</f>
        <v>ecommerce</v>
      </c>
      <c r="L280" s="8" t="str">
        <f>IFERROR(IFNA(vlookup(C280,merchants!$A$1:$D$41,4,FALSE),"Merchant not found"), "Merchant not found")</f>
        <v>North</v>
      </c>
      <c r="M280" s="8">
        <f>IFERROR(IFNA(hlookup(G280,payment_methods!$A$1:$E$2,2,FALSE),"Payment method not found"), "Payment method not found")</f>
        <v>0.005</v>
      </c>
      <c r="N280" s="8">
        <f t="shared" si="2"/>
        <v>149</v>
      </c>
      <c r="O280" s="8" t="str">
        <f t="shared" si="3"/>
        <v>Normal</v>
      </c>
    </row>
    <row r="281" ht="15.75" customHeight="1">
      <c r="A281" s="3" t="s">
        <v>398</v>
      </c>
      <c r="B281" s="5">
        <v>33.0</v>
      </c>
      <c r="C281" s="5">
        <v>8.0</v>
      </c>
      <c r="D281" s="9">
        <v>46048.81180555555</v>
      </c>
      <c r="E281" s="10">
        <f t="shared" si="1"/>
        <v>46048</v>
      </c>
      <c r="F281" s="5">
        <v>299.0</v>
      </c>
      <c r="G281" s="3" t="s">
        <v>15</v>
      </c>
      <c r="H281" s="3" t="s">
        <v>48</v>
      </c>
      <c r="I281" s="5">
        <v>63.0</v>
      </c>
      <c r="J281" s="8" t="str">
        <f>IFERROR(IFNA(vlookup(C281,merchants!$A$1:$D$41,2,FALSE),"Merchant not found"), "Merchant not found")</f>
        <v>Merchant_008</v>
      </c>
      <c r="K281" s="8" t="str">
        <f>IFERROR(IFNA(vlookup(C281,merchants!$A$1:$D$41,3,FALSE),"Merchant not found"), "Merchant not found")</f>
        <v>food_delivery</v>
      </c>
      <c r="L281" s="8" t="str">
        <f>IFERROR(IFNA(vlookup(C281,merchants!$A$1:$D$41,4,FALSE),"Merchant not found"), "Merchant not found")</f>
        <v>North</v>
      </c>
      <c r="M281" s="8">
        <f>IFERROR(IFNA(hlookup(G281,payment_methods!$A$1:$E$2,2,FALSE),"Payment method not found"), "Payment method not found")</f>
        <v>0.0025</v>
      </c>
      <c r="N281" s="8">
        <f t="shared" si="2"/>
        <v>598</v>
      </c>
      <c r="O281" s="8" t="str">
        <f t="shared" si="3"/>
        <v>Normal</v>
      </c>
    </row>
    <row r="282" ht="15.75" customHeight="1">
      <c r="A282" s="3" t="s">
        <v>399</v>
      </c>
      <c r="B282" s="5">
        <v>324.0</v>
      </c>
      <c r="C282" s="5">
        <v>33.0</v>
      </c>
      <c r="D282" s="9">
        <v>46042.709027777775</v>
      </c>
      <c r="E282" s="10">
        <f t="shared" si="1"/>
        <v>46042</v>
      </c>
      <c r="F282" s="5">
        <v>499.0</v>
      </c>
      <c r="G282" s="3" t="s">
        <v>20</v>
      </c>
      <c r="H282" s="3" t="s">
        <v>48</v>
      </c>
      <c r="I282" s="5">
        <v>73.0</v>
      </c>
      <c r="J282" s="8" t="str">
        <f>IFERROR(IFNA(vlookup(C282,merchants!$A$1:$D$41,2,FALSE),"Merchant not found"), "Merchant not found")</f>
        <v>Merchant_033</v>
      </c>
      <c r="K282" s="8" t="str">
        <f>IFERROR(IFNA(vlookup(C282,merchants!$A$1:$D$41,3,FALSE),"Merchant not found"), "Merchant not found")</f>
        <v>bill_payment</v>
      </c>
      <c r="L282" s="8" t="str">
        <f>IFERROR(IFNA(vlookup(C282,merchants!$A$1:$D$41,4,FALSE),"Merchant not found"), "Merchant not found")</f>
        <v>East</v>
      </c>
      <c r="M282" s="8">
        <f>IFERROR(IFNA(hlookup(G282,payment_methods!$A$1:$E$2,2,FALSE),"Payment method not found"), "Payment method not found")</f>
        <v>0</v>
      </c>
      <c r="N282" s="8">
        <f t="shared" si="2"/>
        <v>499</v>
      </c>
      <c r="O282" s="8" t="str">
        <f t="shared" si="3"/>
        <v>Normal</v>
      </c>
    </row>
    <row r="283" ht="15.75" customHeight="1">
      <c r="A283" s="3" t="s">
        <v>400</v>
      </c>
      <c r="B283" s="5">
        <v>150.0</v>
      </c>
      <c r="C283" s="5">
        <v>28.0</v>
      </c>
      <c r="D283" s="9">
        <v>46030.92291666667</v>
      </c>
      <c r="E283" s="10">
        <f t="shared" si="1"/>
        <v>46030</v>
      </c>
      <c r="F283" s="5">
        <v>49.0</v>
      </c>
      <c r="G283" s="3" t="s">
        <v>20</v>
      </c>
      <c r="H283" s="3" t="s">
        <v>78</v>
      </c>
      <c r="I283" s="5">
        <v>0.0</v>
      </c>
      <c r="J283" s="8" t="str">
        <f>IFERROR(IFNA(vlookup(C283,merchants!$A$1:$D$41,2,FALSE),"Merchant not found"), "Merchant not found")</f>
        <v>Merchant_028</v>
      </c>
      <c r="K283" s="8" t="str">
        <f>IFERROR(IFNA(vlookup(C283,merchants!$A$1:$D$41,3,FALSE),"Merchant not found"), "Merchant not found")</f>
        <v>ecommerce</v>
      </c>
      <c r="L283" s="8" t="str">
        <f>IFERROR(IFNA(vlookup(C283,merchants!$A$1:$D$41,4,FALSE),"Merchant not found"), "Merchant not found")</f>
        <v>South</v>
      </c>
      <c r="M283" s="8">
        <f>IFERROR(IFNA(hlookup(G283,payment_methods!$A$1:$E$2,2,FALSE),"Payment method not found"), "Payment method not found")</f>
        <v>0</v>
      </c>
      <c r="N283" s="8">
        <f t="shared" si="2"/>
        <v>49</v>
      </c>
      <c r="O283" s="8" t="str">
        <f t="shared" si="3"/>
        <v>Normal</v>
      </c>
    </row>
    <row r="284" ht="15.75" customHeight="1">
      <c r="A284" s="3" t="s">
        <v>401</v>
      </c>
      <c r="B284" s="5">
        <v>293.0</v>
      </c>
      <c r="C284" s="5">
        <v>27.0</v>
      </c>
      <c r="D284" s="9">
        <v>46042.46875</v>
      </c>
      <c r="E284" s="10">
        <f t="shared" si="1"/>
        <v>46042</v>
      </c>
      <c r="F284" s="5">
        <v>4999.0</v>
      </c>
      <c r="G284" s="3" t="s">
        <v>20</v>
      </c>
      <c r="H284" s="3" t="s">
        <v>48</v>
      </c>
      <c r="I284" s="5">
        <v>23.0</v>
      </c>
      <c r="J284" s="8" t="str">
        <f>IFERROR(IFNA(vlookup(C284,merchants!$A$1:$D$41,2,FALSE),"Merchant not found"), "Merchant not found")</f>
        <v>Merchant_027</v>
      </c>
      <c r="K284" s="8" t="str">
        <f>IFERROR(IFNA(vlookup(C284,merchants!$A$1:$D$41,3,FALSE),"Merchant not found"), "Merchant not found")</f>
        <v>ecommerce</v>
      </c>
      <c r="L284" s="8" t="str">
        <f>IFERROR(IFNA(vlookup(C284,merchants!$A$1:$D$41,4,FALSE),"Merchant not found"), "Merchant not found")</f>
        <v>North</v>
      </c>
      <c r="M284" s="8">
        <f>IFERROR(IFNA(hlookup(G284,payment_methods!$A$1:$E$2,2,FALSE),"Payment method not found"), "Payment method not found")</f>
        <v>0</v>
      </c>
      <c r="N284" s="8">
        <f t="shared" si="2"/>
        <v>4999</v>
      </c>
      <c r="O284" s="8" t="str">
        <f t="shared" si="3"/>
        <v>Normal</v>
      </c>
    </row>
    <row r="285" ht="15.75" customHeight="1">
      <c r="A285" s="3" t="s">
        <v>402</v>
      </c>
      <c r="B285" s="5">
        <v>269.0</v>
      </c>
      <c r="C285" s="5">
        <v>24.0</v>
      </c>
      <c r="D285" s="9">
        <v>46044.87847222222</v>
      </c>
      <c r="E285" s="10">
        <f t="shared" si="1"/>
        <v>46044</v>
      </c>
      <c r="F285" s="5">
        <v>49.0</v>
      </c>
      <c r="G285" s="3" t="s">
        <v>15</v>
      </c>
      <c r="H285" s="3" t="s">
        <v>48</v>
      </c>
      <c r="I285" s="5">
        <v>8.0</v>
      </c>
      <c r="J285" s="8" t="str">
        <f>IFERROR(IFNA(vlookup(C285,merchants!$A$1:$D$41,2,FALSE),"Merchant not found"), "Merchant not found")</f>
        <v>Merchant_024</v>
      </c>
      <c r="K285" s="8" t="str">
        <f>IFERROR(IFNA(vlookup(C285,merchants!$A$1:$D$41,3,FALSE),"Merchant not found"), "Merchant not found")</f>
        <v>grocery</v>
      </c>
      <c r="L285" s="8" t="str">
        <f>IFERROR(IFNA(vlookup(C285,merchants!$A$1:$D$41,4,FALSE),"Merchant not found"), "Merchant not found")</f>
        <v>North</v>
      </c>
      <c r="M285" s="8">
        <f>IFERROR(IFNA(hlookup(G285,payment_methods!$A$1:$E$2,2,FALSE),"Payment method not found"), "Payment method not found")</f>
        <v>0.0025</v>
      </c>
      <c r="N285" s="8">
        <f t="shared" si="2"/>
        <v>49</v>
      </c>
      <c r="O285" s="8" t="str">
        <f t="shared" si="3"/>
        <v>Normal</v>
      </c>
    </row>
    <row r="286" ht="15.75" customHeight="1">
      <c r="A286" s="3" t="s">
        <v>403</v>
      </c>
      <c r="B286" s="5">
        <v>260.0</v>
      </c>
      <c r="C286" s="5">
        <v>36.0</v>
      </c>
      <c r="D286" s="9">
        <v>46039.73055555556</v>
      </c>
      <c r="E286" s="10">
        <f t="shared" si="1"/>
        <v>46039</v>
      </c>
      <c r="F286" s="5">
        <v>1499.0</v>
      </c>
      <c r="G286" s="3" t="s">
        <v>20</v>
      </c>
      <c r="H286" s="3" t="s">
        <v>48</v>
      </c>
      <c r="I286" s="5">
        <v>2.0</v>
      </c>
      <c r="J286" s="8" t="str">
        <f>IFERROR(IFNA(vlookup(C286,merchants!$A$1:$D$41,2,FALSE),"Merchant not found"), "Merchant not found")</f>
        <v>Merchant_036</v>
      </c>
      <c r="K286" s="8" t="str">
        <f>IFERROR(IFNA(vlookup(C286,merchants!$A$1:$D$41,3,FALSE),"Merchant not found"), "Merchant not found")</f>
        <v>entertainment</v>
      </c>
      <c r="L286" s="8" t="str">
        <f>IFERROR(IFNA(vlookup(C286,merchants!$A$1:$D$41,4,FALSE),"Merchant not found"), "Merchant not found")</f>
        <v>East</v>
      </c>
      <c r="M286" s="8">
        <f>IFERROR(IFNA(hlookup(G286,payment_methods!$A$1:$E$2,2,FALSE),"Payment method not found"), "Payment method not found")</f>
        <v>0</v>
      </c>
      <c r="N286" s="8">
        <f t="shared" si="2"/>
        <v>1499</v>
      </c>
      <c r="O286" s="8" t="str">
        <f t="shared" si="3"/>
        <v>Normal</v>
      </c>
    </row>
    <row r="287" ht="15.75" customHeight="1">
      <c r="A287" s="3" t="s">
        <v>404</v>
      </c>
      <c r="B287" s="5">
        <v>326.0</v>
      </c>
      <c r="C287" s="5">
        <v>25.0</v>
      </c>
      <c r="D287" s="9">
        <v>46035.626388888886</v>
      </c>
      <c r="E287" s="10">
        <f t="shared" si="1"/>
        <v>46035</v>
      </c>
      <c r="F287" s="5">
        <v>49.0</v>
      </c>
      <c r="G287" s="3" t="s">
        <v>20</v>
      </c>
      <c r="H287" s="3" t="s">
        <v>48</v>
      </c>
      <c r="I287" s="5">
        <v>47.0</v>
      </c>
      <c r="J287" s="8" t="str">
        <f>IFERROR(IFNA(vlookup(C287,merchants!$A$1:$D$41,2,FALSE),"Merchant not found"), "Merchant not found")</f>
        <v>Merchant_025</v>
      </c>
      <c r="K287" s="8" t="str">
        <f>IFERROR(IFNA(vlookup(C287,merchants!$A$1:$D$41,3,FALSE),"Merchant not found"), "Merchant not found")</f>
        <v>travel</v>
      </c>
      <c r="L287" s="8" t="str">
        <f>IFERROR(IFNA(vlookup(C287,merchants!$A$1:$D$41,4,FALSE),"Merchant not found"), "Merchant not found")</f>
        <v>South</v>
      </c>
      <c r="M287" s="8">
        <f>IFERROR(IFNA(hlookup(G287,payment_methods!$A$1:$E$2,2,FALSE),"Payment method not found"), "Payment method not found")</f>
        <v>0</v>
      </c>
      <c r="N287" s="8">
        <f t="shared" si="2"/>
        <v>49</v>
      </c>
      <c r="O287" s="8" t="str">
        <f t="shared" si="3"/>
        <v>Normal</v>
      </c>
    </row>
    <row r="288" ht="15.75" customHeight="1">
      <c r="A288" s="3" t="s">
        <v>405</v>
      </c>
      <c r="B288" s="5">
        <v>183.0</v>
      </c>
      <c r="C288" s="5">
        <v>5.0</v>
      </c>
      <c r="D288" s="9">
        <v>46031.959027777775</v>
      </c>
      <c r="E288" s="10">
        <f t="shared" si="1"/>
        <v>46031</v>
      </c>
      <c r="F288" s="5">
        <v>49.0</v>
      </c>
      <c r="G288" s="3" t="s">
        <v>22</v>
      </c>
      <c r="H288" s="3" t="s">
        <v>48</v>
      </c>
      <c r="I288" s="5">
        <v>44.0</v>
      </c>
      <c r="J288" s="8" t="str">
        <f>IFERROR(IFNA(vlookup(C288,merchants!$A$1:$D$41,2,FALSE),"Merchant not found"), "Merchant not found")</f>
        <v>Merchant_005</v>
      </c>
      <c r="K288" s="8" t="str">
        <f>IFERROR(IFNA(vlookup(C288,merchants!$A$1:$D$41,3,FALSE),"Merchant not found"), "Merchant not found")</f>
        <v>recharge</v>
      </c>
      <c r="L288" s="8" t="str">
        <f>IFERROR(IFNA(vlookup(C288,merchants!$A$1:$D$41,4,FALSE),"Merchant not found"), "Merchant not found")</f>
        <v>South</v>
      </c>
      <c r="M288" s="8">
        <f>IFERROR(IFNA(hlookup(G288,payment_methods!$A$1:$E$2,2,FALSE),"Payment method not found"), "Payment method not found")</f>
        <v>0.01</v>
      </c>
      <c r="N288" s="8">
        <f t="shared" si="2"/>
        <v>348</v>
      </c>
      <c r="O288" s="8" t="str">
        <f t="shared" si="3"/>
        <v>Normal</v>
      </c>
    </row>
    <row r="289" ht="15.75" customHeight="1">
      <c r="A289" s="3" t="s">
        <v>406</v>
      </c>
      <c r="B289" s="5">
        <v>322.0</v>
      </c>
      <c r="C289" s="5">
        <v>7.0</v>
      </c>
      <c r="D289" s="9">
        <v>46030.9875</v>
      </c>
      <c r="E289" s="10">
        <f t="shared" si="1"/>
        <v>46030</v>
      </c>
      <c r="F289" s="5">
        <v>299.0</v>
      </c>
      <c r="G289" s="3" t="s">
        <v>20</v>
      </c>
      <c r="H289" s="3" t="s">
        <v>48</v>
      </c>
      <c r="I289" s="5">
        <v>98.0</v>
      </c>
      <c r="J289" s="8" t="str">
        <f>IFERROR(IFNA(vlookup(C289,merchants!$A$1:$D$41,2,FALSE),"Merchant not found"), "Merchant not found")</f>
        <v>Merchant_007</v>
      </c>
      <c r="K289" s="8" t="str">
        <f>IFERROR(IFNA(vlookup(C289,merchants!$A$1:$D$41,3,FALSE),"Merchant not found"), "Merchant not found")</f>
        <v>food_delivery</v>
      </c>
      <c r="L289" s="8" t="str">
        <f>IFERROR(IFNA(vlookup(C289,merchants!$A$1:$D$41,4,FALSE),"Merchant not found"), "Merchant not found")</f>
        <v>East</v>
      </c>
      <c r="M289" s="8">
        <f>IFERROR(IFNA(hlookup(G289,payment_methods!$A$1:$E$2,2,FALSE),"Payment method not found"), "Payment method not found")</f>
        <v>0</v>
      </c>
      <c r="N289" s="8">
        <f t="shared" si="2"/>
        <v>299</v>
      </c>
      <c r="O289" s="8" t="str">
        <f t="shared" si="3"/>
        <v>Normal</v>
      </c>
    </row>
    <row r="290" ht="15.75" customHeight="1">
      <c r="A290" s="3" t="s">
        <v>407</v>
      </c>
      <c r="B290" s="5">
        <v>171.0</v>
      </c>
      <c r="C290" s="5">
        <v>9.0</v>
      </c>
      <c r="D290" s="9">
        <v>46041.99166666667</v>
      </c>
      <c r="E290" s="10">
        <f t="shared" si="1"/>
        <v>46041</v>
      </c>
      <c r="F290" s="5">
        <v>299.0</v>
      </c>
      <c r="G290" s="3" t="s">
        <v>20</v>
      </c>
      <c r="H290" s="3" t="s">
        <v>48</v>
      </c>
      <c r="I290" s="5">
        <v>5.0</v>
      </c>
      <c r="J290" s="8" t="str">
        <f>IFERROR(IFNA(vlookup(C290,merchants!$A$1:$D$41,2,FALSE),"Merchant not found"), "Merchant not found")</f>
        <v>Merchant_009</v>
      </c>
      <c r="K290" s="8" t="str">
        <f>IFERROR(IFNA(vlookup(C290,merchants!$A$1:$D$41,3,FALSE),"Merchant not found"), "Merchant not found")</f>
        <v>ecommerce</v>
      </c>
      <c r="L290" s="8" t="str">
        <f>IFERROR(IFNA(vlookup(C290,merchants!$A$1:$D$41,4,FALSE),"Merchant not found"), "Merchant not found")</f>
        <v>North</v>
      </c>
      <c r="M290" s="8">
        <f>IFERROR(IFNA(hlookup(G290,payment_methods!$A$1:$E$2,2,FALSE),"Payment method not found"), "Payment method not found")</f>
        <v>0</v>
      </c>
      <c r="N290" s="8">
        <f t="shared" si="2"/>
        <v>299</v>
      </c>
      <c r="O290" s="8" t="str">
        <f t="shared" si="3"/>
        <v>Normal</v>
      </c>
    </row>
    <row r="291" ht="15.75" customHeight="1">
      <c r="A291" s="3" t="s">
        <v>408</v>
      </c>
      <c r="B291" s="5">
        <v>330.0</v>
      </c>
      <c r="C291" s="5">
        <v>12.0</v>
      </c>
      <c r="D291" s="9">
        <v>46034.722916666666</v>
      </c>
      <c r="E291" s="10">
        <f t="shared" si="1"/>
        <v>46034</v>
      </c>
      <c r="F291" s="5">
        <v>1499.0</v>
      </c>
      <c r="G291" s="3" t="s">
        <v>25</v>
      </c>
      <c r="H291" s="3" t="s">
        <v>48</v>
      </c>
      <c r="I291" s="5">
        <v>99.0</v>
      </c>
      <c r="J291" s="8" t="str">
        <f>IFERROR(IFNA(vlookup(C291,merchants!$A$1:$D$41,2,FALSE),"Merchant not found"), "Merchant not found")</f>
        <v>Merchant_012</v>
      </c>
      <c r="K291" s="8" t="str">
        <f>IFERROR(IFNA(vlookup(C291,merchants!$A$1:$D$41,3,FALSE),"Merchant not found"), "Merchant not found")</f>
        <v>ecommerce</v>
      </c>
      <c r="L291" s="8" t="str">
        <f>IFERROR(IFNA(vlookup(C291,merchants!$A$1:$D$41,4,FALSE),"Merchant not found"), "Merchant not found")</f>
        <v>East</v>
      </c>
      <c r="M291" s="8">
        <f>IFERROR(IFNA(hlookup(G291,payment_methods!$A$1:$E$2,2,FALSE),"Payment method not found"), "Payment method not found")</f>
        <v>0.005</v>
      </c>
      <c r="N291" s="8">
        <f t="shared" si="2"/>
        <v>1998</v>
      </c>
      <c r="O291" s="8" t="str">
        <f t="shared" si="3"/>
        <v>Normal</v>
      </c>
    </row>
    <row r="292" ht="15.75" customHeight="1">
      <c r="A292" s="3" t="s">
        <v>409</v>
      </c>
      <c r="B292" s="5">
        <v>246.0</v>
      </c>
      <c r="C292" s="5">
        <v>12.0</v>
      </c>
      <c r="D292" s="9">
        <v>46044.61388888889</v>
      </c>
      <c r="E292" s="10">
        <f t="shared" si="1"/>
        <v>46044</v>
      </c>
      <c r="F292" s="5">
        <v>99.0</v>
      </c>
      <c r="G292" s="3" t="s">
        <v>15</v>
      </c>
      <c r="H292" s="3" t="s">
        <v>48</v>
      </c>
      <c r="I292" s="5">
        <v>17.0</v>
      </c>
      <c r="J292" s="8" t="str">
        <f>IFERROR(IFNA(vlookup(C292,merchants!$A$1:$D$41,2,FALSE),"Merchant not found"), "Merchant not found")</f>
        <v>Merchant_012</v>
      </c>
      <c r="K292" s="8" t="str">
        <f>IFERROR(IFNA(vlookup(C292,merchants!$A$1:$D$41,3,FALSE),"Merchant not found"), "Merchant not found")</f>
        <v>ecommerce</v>
      </c>
      <c r="L292" s="8" t="str">
        <f>IFERROR(IFNA(vlookup(C292,merchants!$A$1:$D$41,4,FALSE),"Merchant not found"), "Merchant not found")</f>
        <v>East</v>
      </c>
      <c r="M292" s="8">
        <f>IFERROR(IFNA(hlookup(G292,payment_methods!$A$1:$E$2,2,FALSE),"Payment method not found"), "Payment method not found")</f>
        <v>0.0025</v>
      </c>
      <c r="N292" s="8">
        <f t="shared" si="2"/>
        <v>99</v>
      </c>
      <c r="O292" s="8" t="str">
        <f t="shared" si="3"/>
        <v>Normal</v>
      </c>
    </row>
    <row r="293" ht="15.75" customHeight="1">
      <c r="A293" s="3" t="s">
        <v>410</v>
      </c>
      <c r="B293" s="5">
        <v>235.0</v>
      </c>
      <c r="C293" s="5">
        <v>3.0</v>
      </c>
      <c r="D293" s="9">
        <v>46025.950694444444</v>
      </c>
      <c r="E293" s="10">
        <f t="shared" si="1"/>
        <v>46025</v>
      </c>
      <c r="F293" s="5">
        <v>49.0</v>
      </c>
      <c r="G293" s="3" t="s">
        <v>20</v>
      </c>
      <c r="H293" s="3" t="s">
        <v>48</v>
      </c>
      <c r="I293" s="5">
        <v>37.0</v>
      </c>
      <c r="J293" s="8" t="str">
        <f>IFERROR(IFNA(vlookup(C293,merchants!$A$1:$D$41,2,FALSE),"Merchant not found"), "Merchant not found")</f>
        <v>Merchant_003</v>
      </c>
      <c r="K293" s="8" t="str">
        <f>IFERROR(IFNA(vlookup(C293,merchants!$A$1:$D$41,3,FALSE),"Merchant not found"), "Merchant not found")</f>
        <v>grocery</v>
      </c>
      <c r="L293" s="8" t="str">
        <f>IFERROR(IFNA(vlookup(C293,merchants!$A$1:$D$41,4,FALSE),"Merchant not found"), "Merchant not found")</f>
        <v>East</v>
      </c>
      <c r="M293" s="8">
        <f>IFERROR(IFNA(hlookup(G293,payment_methods!$A$1:$E$2,2,FALSE),"Payment method not found"), "Payment method not found")</f>
        <v>0</v>
      </c>
      <c r="N293" s="8">
        <f t="shared" si="2"/>
        <v>198</v>
      </c>
      <c r="O293" s="8" t="str">
        <f t="shared" si="3"/>
        <v>Normal</v>
      </c>
    </row>
    <row r="294" ht="15.75" customHeight="1">
      <c r="A294" s="3" t="s">
        <v>411</v>
      </c>
      <c r="B294" s="5">
        <v>103.0</v>
      </c>
      <c r="C294" s="5">
        <v>3.0</v>
      </c>
      <c r="D294" s="9">
        <v>46029.07638888889</v>
      </c>
      <c r="E294" s="10">
        <f t="shared" si="1"/>
        <v>46029</v>
      </c>
      <c r="F294" s="5">
        <v>499.0</v>
      </c>
      <c r="G294" s="3" t="s">
        <v>20</v>
      </c>
      <c r="H294" s="3" t="s">
        <v>48</v>
      </c>
      <c r="I294" s="5">
        <v>40.0</v>
      </c>
      <c r="J294" s="8" t="str">
        <f>IFERROR(IFNA(vlookup(C294,merchants!$A$1:$D$41,2,FALSE),"Merchant not found"), "Merchant not found")</f>
        <v>Merchant_003</v>
      </c>
      <c r="K294" s="8" t="str">
        <f>IFERROR(IFNA(vlookup(C294,merchants!$A$1:$D$41,3,FALSE),"Merchant not found"), "Merchant not found")</f>
        <v>grocery</v>
      </c>
      <c r="L294" s="8" t="str">
        <f>IFERROR(IFNA(vlookup(C294,merchants!$A$1:$D$41,4,FALSE),"Merchant not found"), "Merchant not found")</f>
        <v>East</v>
      </c>
      <c r="M294" s="8">
        <f>IFERROR(IFNA(hlookup(G294,payment_methods!$A$1:$E$2,2,FALSE),"Payment method not found"), "Payment method not found")</f>
        <v>0</v>
      </c>
      <c r="N294" s="8">
        <f t="shared" si="2"/>
        <v>798</v>
      </c>
      <c r="O294" s="8" t="str">
        <f t="shared" si="3"/>
        <v>Normal</v>
      </c>
    </row>
    <row r="295" ht="15.75" customHeight="1">
      <c r="A295" s="3" t="s">
        <v>412</v>
      </c>
      <c r="B295" s="5">
        <v>204.0</v>
      </c>
      <c r="C295" s="5">
        <v>35.0</v>
      </c>
      <c r="D295" s="9">
        <v>46052.39722222222</v>
      </c>
      <c r="E295" s="10">
        <f t="shared" si="1"/>
        <v>46052</v>
      </c>
      <c r="F295" s="5">
        <v>99.0</v>
      </c>
      <c r="G295" s="3" t="s">
        <v>15</v>
      </c>
      <c r="H295" s="3" t="s">
        <v>48</v>
      </c>
      <c r="I295" s="5">
        <v>60.0</v>
      </c>
      <c r="J295" s="8" t="str">
        <f>IFERROR(IFNA(vlookup(C295,merchants!$A$1:$D$41,2,FALSE),"Merchant not found"), "Merchant not found")</f>
        <v>Merchant_035</v>
      </c>
      <c r="K295" s="8" t="str">
        <f>IFERROR(IFNA(vlookup(C295,merchants!$A$1:$D$41,3,FALSE),"Merchant not found"), "Merchant not found")</f>
        <v>recharge</v>
      </c>
      <c r="L295" s="8" t="str">
        <f>IFERROR(IFNA(vlookup(C295,merchants!$A$1:$D$41,4,FALSE),"Merchant not found"), "Merchant not found")</f>
        <v>East</v>
      </c>
      <c r="M295" s="8">
        <f>IFERROR(IFNA(hlookup(G295,payment_methods!$A$1:$E$2,2,FALSE),"Payment method not found"), "Payment method not found")</f>
        <v>0.0025</v>
      </c>
      <c r="N295" s="8">
        <f t="shared" si="2"/>
        <v>99</v>
      </c>
      <c r="O295" s="8" t="str">
        <f t="shared" si="3"/>
        <v>Normal</v>
      </c>
    </row>
    <row r="296" ht="15.75" customHeight="1">
      <c r="A296" s="3" t="s">
        <v>413</v>
      </c>
      <c r="B296" s="5">
        <v>332.0</v>
      </c>
      <c r="C296" s="5">
        <v>13.0</v>
      </c>
      <c r="D296" s="9">
        <v>46031.075</v>
      </c>
      <c r="E296" s="10">
        <f t="shared" si="1"/>
        <v>46031</v>
      </c>
      <c r="F296" s="5">
        <v>49.0</v>
      </c>
      <c r="G296" s="3" t="s">
        <v>22</v>
      </c>
      <c r="H296" s="3" t="s">
        <v>48</v>
      </c>
      <c r="I296" s="5">
        <v>36.0</v>
      </c>
      <c r="J296" s="8" t="str">
        <f>IFERROR(IFNA(vlookup(C296,merchants!$A$1:$D$41,2,FALSE),"Merchant not found"), "Merchant not found")</f>
        <v>Merchant_013</v>
      </c>
      <c r="K296" s="8" t="str">
        <f>IFERROR(IFNA(vlookup(C296,merchants!$A$1:$D$41,3,FALSE),"Merchant not found"), "Merchant not found")</f>
        <v>travel</v>
      </c>
      <c r="L296" s="8" t="str">
        <f>IFERROR(IFNA(vlookup(C296,merchants!$A$1:$D$41,4,FALSE),"Merchant not found"), "Merchant not found")</f>
        <v>East</v>
      </c>
      <c r="M296" s="8">
        <f>IFERROR(IFNA(hlookup(G296,payment_methods!$A$1:$E$2,2,FALSE),"Payment method not found"), "Payment method not found")</f>
        <v>0.01</v>
      </c>
      <c r="N296" s="8">
        <f t="shared" si="2"/>
        <v>198</v>
      </c>
      <c r="O296" s="8" t="str">
        <f t="shared" si="3"/>
        <v>Normal</v>
      </c>
    </row>
    <row r="297" ht="15.75" customHeight="1">
      <c r="A297" s="3" t="s">
        <v>414</v>
      </c>
      <c r="B297" s="5">
        <v>336.0</v>
      </c>
      <c r="C297" s="5">
        <v>22.0</v>
      </c>
      <c r="D297" s="9">
        <v>46034.07986111111</v>
      </c>
      <c r="E297" s="10">
        <f t="shared" si="1"/>
        <v>46034</v>
      </c>
      <c r="F297" s="5">
        <v>499.0</v>
      </c>
      <c r="G297" s="3" t="s">
        <v>20</v>
      </c>
      <c r="H297" s="3" t="s">
        <v>48</v>
      </c>
      <c r="I297" s="5">
        <v>34.0</v>
      </c>
      <c r="J297" s="8" t="str">
        <f>IFERROR(IFNA(vlookup(C297,merchants!$A$1:$D$41,2,FALSE),"Merchant not found"), "Merchant not found")</f>
        <v>Merchant_022</v>
      </c>
      <c r="K297" s="8" t="str">
        <f>IFERROR(IFNA(vlookup(C297,merchants!$A$1:$D$41,3,FALSE),"Merchant not found"), "Merchant not found")</f>
        <v>travel</v>
      </c>
      <c r="L297" s="8" t="str">
        <f>IFERROR(IFNA(vlookup(C297,merchants!$A$1:$D$41,4,FALSE),"Merchant not found"), "Merchant not found")</f>
        <v>South</v>
      </c>
      <c r="M297" s="8">
        <f>IFERROR(IFNA(hlookup(G297,payment_methods!$A$1:$E$2,2,FALSE),"Payment method not found"), "Payment method not found")</f>
        <v>0</v>
      </c>
      <c r="N297" s="8">
        <f t="shared" si="2"/>
        <v>1697</v>
      </c>
      <c r="O297" s="8" t="str">
        <f t="shared" si="3"/>
        <v>Normal</v>
      </c>
    </row>
    <row r="298" ht="15.75" customHeight="1">
      <c r="A298" s="3" t="s">
        <v>415</v>
      </c>
      <c r="B298" s="5">
        <v>205.0</v>
      </c>
      <c r="C298" s="5">
        <v>29.0</v>
      </c>
      <c r="D298" s="9">
        <v>46026.47708333333</v>
      </c>
      <c r="E298" s="10">
        <f t="shared" si="1"/>
        <v>46026</v>
      </c>
      <c r="F298" s="5">
        <v>99.0</v>
      </c>
      <c r="G298" s="3" t="s">
        <v>15</v>
      </c>
      <c r="H298" s="3" t="s">
        <v>48</v>
      </c>
      <c r="I298" s="5">
        <v>49.0</v>
      </c>
      <c r="J298" s="8" t="str">
        <f>IFERROR(IFNA(vlookup(C298,merchants!$A$1:$D$41,2,FALSE),"Merchant not found"), "Merchant not found")</f>
        <v>Merchant_029</v>
      </c>
      <c r="K298" s="8" t="str">
        <f>IFERROR(IFNA(vlookup(C298,merchants!$A$1:$D$41,3,FALSE),"Merchant not found"), "Merchant not found")</f>
        <v>ecommerce</v>
      </c>
      <c r="L298" s="8" t="str">
        <f>IFERROR(IFNA(vlookup(C298,merchants!$A$1:$D$41,4,FALSE),"Merchant not found"), "Merchant not found")</f>
        <v>North</v>
      </c>
      <c r="M298" s="8">
        <f>IFERROR(IFNA(hlookup(G298,payment_methods!$A$1:$E$2,2,FALSE),"Payment method not found"), "Payment method not found")</f>
        <v>0.0025</v>
      </c>
      <c r="N298" s="8">
        <f t="shared" si="2"/>
        <v>99</v>
      </c>
      <c r="O298" s="8" t="str">
        <f t="shared" si="3"/>
        <v>Normal</v>
      </c>
    </row>
    <row r="299" ht="15.75" customHeight="1">
      <c r="A299" s="3" t="s">
        <v>416</v>
      </c>
      <c r="B299" s="5">
        <v>255.0</v>
      </c>
      <c r="C299" s="5">
        <v>24.0</v>
      </c>
      <c r="D299" s="9">
        <v>46033.22986111111</v>
      </c>
      <c r="E299" s="10">
        <f t="shared" si="1"/>
        <v>46033</v>
      </c>
      <c r="F299" s="5">
        <v>799.0</v>
      </c>
      <c r="G299" s="3" t="s">
        <v>20</v>
      </c>
      <c r="H299" s="3" t="s">
        <v>48</v>
      </c>
      <c r="I299" s="5">
        <v>66.0</v>
      </c>
      <c r="J299" s="8" t="str">
        <f>IFERROR(IFNA(vlookup(C299,merchants!$A$1:$D$41,2,FALSE),"Merchant not found"), "Merchant not found")</f>
        <v>Merchant_024</v>
      </c>
      <c r="K299" s="8" t="str">
        <f>IFERROR(IFNA(vlookup(C299,merchants!$A$1:$D$41,3,FALSE),"Merchant not found"), "Merchant not found")</f>
        <v>grocery</v>
      </c>
      <c r="L299" s="8" t="str">
        <f>IFERROR(IFNA(vlookup(C299,merchants!$A$1:$D$41,4,FALSE),"Merchant not found"), "Merchant not found")</f>
        <v>North</v>
      </c>
      <c r="M299" s="8">
        <f>IFERROR(IFNA(hlookup(G299,payment_methods!$A$1:$E$2,2,FALSE),"Payment method not found"), "Payment method not found")</f>
        <v>0</v>
      </c>
      <c r="N299" s="8">
        <f t="shared" si="2"/>
        <v>799</v>
      </c>
      <c r="O299" s="8" t="str">
        <f t="shared" si="3"/>
        <v>Normal</v>
      </c>
    </row>
    <row r="300" ht="15.75" customHeight="1">
      <c r="A300" s="3" t="s">
        <v>417</v>
      </c>
      <c r="B300" s="5">
        <v>218.0</v>
      </c>
      <c r="C300" s="5">
        <v>6.0</v>
      </c>
      <c r="D300" s="9">
        <v>46031.115277777775</v>
      </c>
      <c r="E300" s="10">
        <f t="shared" si="1"/>
        <v>46031</v>
      </c>
      <c r="F300" s="5">
        <v>99.0</v>
      </c>
      <c r="G300" s="3" t="s">
        <v>20</v>
      </c>
      <c r="H300" s="3" t="s">
        <v>48</v>
      </c>
      <c r="I300" s="5">
        <v>55.0</v>
      </c>
      <c r="J300" s="8" t="str">
        <f>IFERROR(IFNA(vlookup(C300,merchants!$A$1:$D$41,2,FALSE),"Merchant not found"), "Merchant not found")</f>
        <v>Merchant_006</v>
      </c>
      <c r="K300" s="8" t="str">
        <f>IFERROR(IFNA(vlookup(C300,merchants!$A$1:$D$41,3,FALSE),"Merchant not found"), "Merchant not found")</f>
        <v>food_delivery</v>
      </c>
      <c r="L300" s="8" t="str">
        <f>IFERROR(IFNA(vlookup(C300,merchants!$A$1:$D$41,4,FALSE),"Merchant not found"), "Merchant not found")</f>
        <v>South</v>
      </c>
      <c r="M300" s="8">
        <f>IFERROR(IFNA(hlookup(G300,payment_methods!$A$1:$E$2,2,FALSE),"Payment method not found"), "Payment method not found")</f>
        <v>0</v>
      </c>
      <c r="N300" s="8">
        <f t="shared" si="2"/>
        <v>99</v>
      </c>
      <c r="O300" s="8" t="str">
        <f t="shared" si="3"/>
        <v>Normal</v>
      </c>
    </row>
    <row r="301" ht="15.75" customHeight="1">
      <c r="A301" s="3" t="s">
        <v>418</v>
      </c>
      <c r="B301" s="5">
        <v>151.0</v>
      </c>
      <c r="C301" s="5">
        <v>21.0</v>
      </c>
      <c r="D301" s="9">
        <v>46042.231944444444</v>
      </c>
      <c r="E301" s="10">
        <f t="shared" si="1"/>
        <v>46042</v>
      </c>
      <c r="F301" s="5">
        <v>49.0</v>
      </c>
      <c r="G301" s="3" t="s">
        <v>20</v>
      </c>
      <c r="H301" s="3" t="s">
        <v>48</v>
      </c>
      <c r="I301" s="5">
        <v>13.0</v>
      </c>
      <c r="J301" s="8" t="str">
        <f>IFERROR(IFNA(vlookup(C301,merchants!$A$1:$D$41,2,FALSE),"Merchant not found"), "Merchant not found")</f>
        <v>Merchant_021</v>
      </c>
      <c r="K301" s="8" t="str">
        <f>IFERROR(IFNA(vlookup(C301,merchants!$A$1:$D$41,3,FALSE),"Merchant not found"), "Merchant not found")</f>
        <v>food_delivery</v>
      </c>
      <c r="L301" s="8" t="str">
        <f>IFERROR(IFNA(vlookup(C301,merchants!$A$1:$D$41,4,FALSE),"Merchant not found"), "Merchant not found")</f>
        <v>East</v>
      </c>
      <c r="M301" s="8">
        <f>IFERROR(IFNA(hlookup(G301,payment_methods!$A$1:$E$2,2,FALSE),"Payment method not found"), "Payment method not found")</f>
        <v>0</v>
      </c>
      <c r="N301" s="8">
        <f t="shared" si="2"/>
        <v>49</v>
      </c>
      <c r="O301" s="8" t="str">
        <f t="shared" si="3"/>
        <v>Normal</v>
      </c>
    </row>
    <row r="302" ht="15.75" customHeight="1">
      <c r="A302" s="3" t="s">
        <v>419</v>
      </c>
      <c r="B302" s="5">
        <v>152.0</v>
      </c>
      <c r="C302" s="5">
        <v>20.0</v>
      </c>
      <c r="D302" s="9">
        <v>46025.44583333333</v>
      </c>
      <c r="E302" s="10">
        <f t="shared" si="1"/>
        <v>46025</v>
      </c>
      <c r="F302" s="5">
        <v>49.0</v>
      </c>
      <c r="G302" s="3" t="s">
        <v>20</v>
      </c>
      <c r="H302" s="3" t="s">
        <v>48</v>
      </c>
      <c r="I302" s="5">
        <v>57.0</v>
      </c>
      <c r="J302" s="8" t="str">
        <f>IFERROR(IFNA(vlookup(C302,merchants!$A$1:$D$41,2,FALSE),"Merchant not found"), "Merchant not found")</f>
        <v>Merchant_020</v>
      </c>
      <c r="K302" s="8" t="str">
        <f>IFERROR(IFNA(vlookup(C302,merchants!$A$1:$D$41,3,FALSE),"Merchant not found"), "Merchant not found")</f>
        <v>food_delivery</v>
      </c>
      <c r="L302" s="8" t="str">
        <f>IFERROR(IFNA(vlookup(C302,merchants!$A$1:$D$41,4,FALSE),"Merchant not found"), "Merchant not found")</f>
        <v>East</v>
      </c>
      <c r="M302" s="8">
        <f>IFERROR(IFNA(hlookup(G302,payment_methods!$A$1:$E$2,2,FALSE),"Payment method not found"), "Payment method not found")</f>
        <v>0</v>
      </c>
      <c r="N302" s="8">
        <f t="shared" si="2"/>
        <v>348</v>
      </c>
      <c r="O302" s="8" t="str">
        <f t="shared" si="3"/>
        <v>Normal</v>
      </c>
    </row>
    <row r="303" ht="15.75" customHeight="1">
      <c r="A303" s="3" t="s">
        <v>420</v>
      </c>
      <c r="B303" s="5">
        <v>86.0</v>
      </c>
      <c r="C303" s="5">
        <v>29.0</v>
      </c>
      <c r="D303" s="9">
        <v>46042.93541666667</v>
      </c>
      <c r="E303" s="10">
        <f t="shared" si="1"/>
        <v>46042</v>
      </c>
      <c r="F303" s="5">
        <v>149.0</v>
      </c>
      <c r="G303" s="3" t="s">
        <v>22</v>
      </c>
      <c r="H303" s="3" t="s">
        <v>48</v>
      </c>
      <c r="I303" s="5">
        <v>44.0</v>
      </c>
      <c r="J303" s="8" t="str">
        <f>IFERROR(IFNA(vlookup(C303,merchants!$A$1:$D$41,2,FALSE),"Merchant not found"), "Merchant not found")</f>
        <v>Merchant_029</v>
      </c>
      <c r="K303" s="8" t="str">
        <f>IFERROR(IFNA(vlookup(C303,merchants!$A$1:$D$41,3,FALSE),"Merchant not found"), "Merchant not found")</f>
        <v>ecommerce</v>
      </c>
      <c r="L303" s="8" t="str">
        <f>IFERROR(IFNA(vlookup(C303,merchants!$A$1:$D$41,4,FALSE),"Merchant not found"), "Merchant not found")</f>
        <v>North</v>
      </c>
      <c r="M303" s="8">
        <f>IFERROR(IFNA(hlookup(G303,payment_methods!$A$1:$E$2,2,FALSE),"Payment method not found"), "Payment method not found")</f>
        <v>0.01</v>
      </c>
      <c r="N303" s="8">
        <f t="shared" si="2"/>
        <v>149</v>
      </c>
      <c r="O303" s="8" t="str">
        <f t="shared" si="3"/>
        <v>Normal</v>
      </c>
    </row>
    <row r="304" ht="15.75" customHeight="1">
      <c r="A304" s="3" t="s">
        <v>421</v>
      </c>
      <c r="B304" s="5">
        <v>181.0</v>
      </c>
      <c r="C304" s="5">
        <v>40.0</v>
      </c>
      <c r="D304" s="9">
        <v>46037.07361111111</v>
      </c>
      <c r="E304" s="10">
        <f t="shared" si="1"/>
        <v>46037</v>
      </c>
      <c r="F304" s="5">
        <v>149.0</v>
      </c>
      <c r="G304" s="3" t="s">
        <v>20</v>
      </c>
      <c r="H304" s="3" t="s">
        <v>48</v>
      </c>
      <c r="I304" s="5">
        <v>55.0</v>
      </c>
      <c r="J304" s="8" t="str">
        <f>IFERROR(IFNA(vlookup(C304,merchants!$A$1:$D$41,2,FALSE),"Merchant not found"), "Merchant not found")</f>
        <v>Merchant_040</v>
      </c>
      <c r="K304" s="8" t="str">
        <f>IFERROR(IFNA(vlookup(C304,merchants!$A$1:$D$41,3,FALSE),"Merchant not found"), "Merchant not found")</f>
        <v>entertainment</v>
      </c>
      <c r="L304" s="8" t="str">
        <f>IFERROR(IFNA(vlookup(C304,merchants!$A$1:$D$41,4,FALSE),"Merchant not found"), "Merchant not found")</f>
        <v>South</v>
      </c>
      <c r="M304" s="8">
        <f>IFERROR(IFNA(hlookup(G304,payment_methods!$A$1:$E$2,2,FALSE),"Payment method not found"), "Payment method not found")</f>
        <v>0</v>
      </c>
      <c r="N304" s="8">
        <f t="shared" si="2"/>
        <v>149</v>
      </c>
      <c r="O304" s="8" t="str">
        <f t="shared" si="3"/>
        <v>Normal</v>
      </c>
    </row>
    <row r="305" ht="15.75" customHeight="1">
      <c r="A305" s="3" t="s">
        <v>422</v>
      </c>
      <c r="B305" s="5">
        <v>30.0</v>
      </c>
      <c r="C305" s="5">
        <v>5.0</v>
      </c>
      <c r="D305" s="9">
        <v>46031.868055555555</v>
      </c>
      <c r="E305" s="10">
        <f t="shared" si="1"/>
        <v>46031</v>
      </c>
      <c r="F305" s="5">
        <v>299.0</v>
      </c>
      <c r="G305" s="3" t="s">
        <v>20</v>
      </c>
      <c r="H305" s="3" t="s">
        <v>48</v>
      </c>
      <c r="I305" s="5">
        <v>85.0</v>
      </c>
      <c r="J305" s="8" t="str">
        <f>IFERROR(IFNA(vlookup(C305,merchants!$A$1:$D$41,2,FALSE),"Merchant not found"), "Merchant not found")</f>
        <v>Merchant_005</v>
      </c>
      <c r="K305" s="8" t="str">
        <f>IFERROR(IFNA(vlookup(C305,merchants!$A$1:$D$41,3,FALSE),"Merchant not found"), "Merchant not found")</f>
        <v>recharge</v>
      </c>
      <c r="L305" s="8" t="str">
        <f>IFERROR(IFNA(vlookup(C305,merchants!$A$1:$D$41,4,FALSE),"Merchant not found"), "Merchant not found")</f>
        <v>South</v>
      </c>
      <c r="M305" s="8">
        <f>IFERROR(IFNA(hlookup(G305,payment_methods!$A$1:$E$2,2,FALSE),"Payment method not found"), "Payment method not found")</f>
        <v>0</v>
      </c>
      <c r="N305" s="8">
        <f t="shared" si="2"/>
        <v>348</v>
      </c>
      <c r="O305" s="8" t="str">
        <f t="shared" si="3"/>
        <v>Normal</v>
      </c>
    </row>
    <row r="306" ht="15.75" customHeight="1">
      <c r="A306" s="3" t="s">
        <v>423</v>
      </c>
      <c r="B306" s="5">
        <v>263.0</v>
      </c>
      <c r="C306" s="5">
        <v>11.0</v>
      </c>
      <c r="D306" s="9">
        <v>46043.51597222222</v>
      </c>
      <c r="E306" s="10">
        <f t="shared" si="1"/>
        <v>46043</v>
      </c>
      <c r="F306" s="5">
        <v>149.0</v>
      </c>
      <c r="G306" s="3" t="s">
        <v>15</v>
      </c>
      <c r="H306" s="3" t="s">
        <v>48</v>
      </c>
      <c r="I306" s="5">
        <v>3.0</v>
      </c>
      <c r="J306" s="8" t="str">
        <f>IFERROR(IFNA(vlookup(C306,merchants!$A$1:$D$41,2,FALSE),"Merchant not found"), "Merchant not found")</f>
        <v>Merchant_011</v>
      </c>
      <c r="K306" s="8" t="str">
        <f>IFERROR(IFNA(vlookup(C306,merchants!$A$1:$D$41,3,FALSE),"Merchant not found"), "Merchant not found")</f>
        <v>ecommerce</v>
      </c>
      <c r="L306" s="8" t="str">
        <f>IFERROR(IFNA(vlookup(C306,merchants!$A$1:$D$41,4,FALSE),"Merchant not found"), "Merchant not found")</f>
        <v>North</v>
      </c>
      <c r="M306" s="8">
        <f>IFERROR(IFNA(hlookup(G306,payment_methods!$A$1:$E$2,2,FALSE),"Payment method not found"), "Payment method not found")</f>
        <v>0.0025</v>
      </c>
      <c r="N306" s="8">
        <f t="shared" si="2"/>
        <v>149</v>
      </c>
      <c r="O306" s="8" t="str">
        <f t="shared" si="3"/>
        <v>Normal</v>
      </c>
    </row>
    <row r="307" ht="15.75" customHeight="1">
      <c r="A307" s="3" t="s">
        <v>424</v>
      </c>
      <c r="B307" s="5">
        <v>225.0</v>
      </c>
      <c r="C307" s="5">
        <v>3.0</v>
      </c>
      <c r="D307" s="9">
        <v>46027.82152777778</v>
      </c>
      <c r="E307" s="10">
        <f t="shared" si="1"/>
        <v>46027</v>
      </c>
      <c r="F307" s="5">
        <v>99.0</v>
      </c>
      <c r="G307" s="3" t="s">
        <v>25</v>
      </c>
      <c r="H307" s="3" t="s">
        <v>48</v>
      </c>
      <c r="I307" s="5">
        <v>16.0</v>
      </c>
      <c r="J307" s="8" t="str">
        <f>IFERROR(IFNA(vlookup(C307,merchants!$A$1:$D$41,2,FALSE),"Merchant not found"), "Merchant not found")</f>
        <v>Merchant_003</v>
      </c>
      <c r="K307" s="8" t="str">
        <f>IFERROR(IFNA(vlookup(C307,merchants!$A$1:$D$41,3,FALSE),"Merchant not found"), "Merchant not found")</f>
        <v>grocery</v>
      </c>
      <c r="L307" s="8" t="str">
        <f>IFERROR(IFNA(vlookup(C307,merchants!$A$1:$D$41,4,FALSE),"Merchant not found"), "Merchant not found")</f>
        <v>East</v>
      </c>
      <c r="M307" s="8">
        <f>IFERROR(IFNA(hlookup(G307,payment_methods!$A$1:$E$2,2,FALSE),"Payment method not found"), "Payment method not found")</f>
        <v>0.005</v>
      </c>
      <c r="N307" s="8">
        <f t="shared" si="2"/>
        <v>99</v>
      </c>
      <c r="O307" s="8" t="str">
        <f t="shared" si="3"/>
        <v>Normal</v>
      </c>
    </row>
    <row r="308" ht="15.75" customHeight="1">
      <c r="A308" s="3" t="s">
        <v>425</v>
      </c>
      <c r="B308" s="5">
        <v>331.0</v>
      </c>
      <c r="C308" s="5">
        <v>24.0</v>
      </c>
      <c r="D308" s="9">
        <v>46025.325694444444</v>
      </c>
      <c r="E308" s="10">
        <f t="shared" si="1"/>
        <v>46025</v>
      </c>
      <c r="F308" s="5">
        <v>49.0</v>
      </c>
      <c r="G308" s="3" t="s">
        <v>22</v>
      </c>
      <c r="H308" s="3" t="s">
        <v>48</v>
      </c>
      <c r="I308" s="5">
        <v>46.0</v>
      </c>
      <c r="J308" s="8" t="str">
        <f>IFERROR(IFNA(vlookup(C308,merchants!$A$1:$D$41,2,FALSE),"Merchant not found"), "Merchant not found")</f>
        <v>Merchant_024</v>
      </c>
      <c r="K308" s="8" t="str">
        <f>IFERROR(IFNA(vlookup(C308,merchants!$A$1:$D$41,3,FALSE),"Merchant not found"), "Merchant not found")</f>
        <v>grocery</v>
      </c>
      <c r="L308" s="8" t="str">
        <f>IFERROR(IFNA(vlookup(C308,merchants!$A$1:$D$41,4,FALSE),"Merchant not found"), "Merchant not found")</f>
        <v>North</v>
      </c>
      <c r="M308" s="8">
        <f>IFERROR(IFNA(hlookup(G308,payment_methods!$A$1:$E$2,2,FALSE),"Payment method not found"), "Payment method not found")</f>
        <v>0.01</v>
      </c>
      <c r="N308" s="8">
        <f t="shared" si="2"/>
        <v>49</v>
      </c>
      <c r="O308" s="8" t="str">
        <f t="shared" si="3"/>
        <v>Normal</v>
      </c>
    </row>
    <row r="309" ht="15.75" customHeight="1">
      <c r="A309" s="3" t="s">
        <v>426</v>
      </c>
      <c r="B309" s="5">
        <v>310.0</v>
      </c>
      <c r="C309" s="5">
        <v>10.0</v>
      </c>
      <c r="D309" s="9">
        <v>46035.751388888886</v>
      </c>
      <c r="E309" s="10">
        <f t="shared" si="1"/>
        <v>46035</v>
      </c>
      <c r="F309" s="5">
        <v>1499.0</v>
      </c>
      <c r="G309" s="3" t="s">
        <v>22</v>
      </c>
      <c r="H309" s="3" t="s">
        <v>48</v>
      </c>
      <c r="I309" s="5">
        <v>86.0</v>
      </c>
      <c r="J309" s="8" t="str">
        <f>IFERROR(IFNA(vlookup(C309,merchants!$A$1:$D$41,2,FALSE),"Merchant not found"), "Merchant not found")</f>
        <v>Merchant_010</v>
      </c>
      <c r="K309" s="8" t="str">
        <f>IFERROR(IFNA(vlookup(C309,merchants!$A$1:$D$41,3,FALSE),"Merchant not found"), "Merchant not found")</f>
        <v>grocery</v>
      </c>
      <c r="L309" s="8" t="str">
        <f>IFERROR(IFNA(vlookup(C309,merchants!$A$1:$D$41,4,FALSE),"Merchant not found"), "Merchant not found")</f>
        <v>West</v>
      </c>
      <c r="M309" s="8">
        <f>IFERROR(IFNA(hlookup(G309,payment_methods!$A$1:$E$2,2,FALSE),"Payment method not found"), "Payment method not found")</f>
        <v>0.01</v>
      </c>
      <c r="N309" s="8">
        <f t="shared" si="2"/>
        <v>1499</v>
      </c>
      <c r="O309" s="8" t="str">
        <f t="shared" si="3"/>
        <v>Normal</v>
      </c>
    </row>
    <row r="310" ht="15.75" customHeight="1">
      <c r="A310" s="3" t="s">
        <v>427</v>
      </c>
      <c r="B310" s="5">
        <v>228.0</v>
      </c>
      <c r="C310" s="5">
        <v>5.0</v>
      </c>
      <c r="D310" s="9">
        <v>46037.47430555556</v>
      </c>
      <c r="E310" s="10">
        <f t="shared" si="1"/>
        <v>46037</v>
      </c>
      <c r="F310" s="5">
        <v>49.0</v>
      </c>
      <c r="G310" s="3" t="s">
        <v>20</v>
      </c>
      <c r="H310" s="3" t="s">
        <v>48</v>
      </c>
      <c r="I310" s="5">
        <v>73.0</v>
      </c>
      <c r="J310" s="8" t="str">
        <f>IFERROR(IFNA(vlookup(C310,merchants!$A$1:$D$41,2,FALSE),"Merchant not found"), "Merchant not found")</f>
        <v>Merchant_005</v>
      </c>
      <c r="K310" s="8" t="str">
        <f>IFERROR(IFNA(vlookup(C310,merchants!$A$1:$D$41,3,FALSE),"Merchant not found"), "Merchant not found")</f>
        <v>recharge</v>
      </c>
      <c r="L310" s="8" t="str">
        <f>IFERROR(IFNA(vlookup(C310,merchants!$A$1:$D$41,4,FALSE),"Merchant not found"), "Merchant not found")</f>
        <v>South</v>
      </c>
      <c r="M310" s="8">
        <f>IFERROR(IFNA(hlookup(G310,payment_methods!$A$1:$E$2,2,FALSE),"Payment method not found"), "Payment method not found")</f>
        <v>0</v>
      </c>
      <c r="N310" s="8">
        <f t="shared" si="2"/>
        <v>548</v>
      </c>
      <c r="O310" s="8" t="str">
        <f t="shared" si="3"/>
        <v>Normal</v>
      </c>
    </row>
    <row r="311" ht="15.75" customHeight="1">
      <c r="A311" s="3" t="s">
        <v>428</v>
      </c>
      <c r="B311" s="5">
        <v>204.0</v>
      </c>
      <c r="C311" s="5">
        <v>21.0</v>
      </c>
      <c r="D311" s="9">
        <v>46027.68263888889</v>
      </c>
      <c r="E311" s="10">
        <f t="shared" si="1"/>
        <v>46027</v>
      </c>
      <c r="F311" s="5">
        <v>499.0</v>
      </c>
      <c r="G311" s="3" t="s">
        <v>20</v>
      </c>
      <c r="H311" s="3" t="s">
        <v>48</v>
      </c>
      <c r="I311" s="5">
        <v>83.0</v>
      </c>
      <c r="J311" s="8" t="str">
        <f>IFERROR(IFNA(vlookup(C311,merchants!$A$1:$D$41,2,FALSE),"Merchant not found"), "Merchant not found")</f>
        <v>Merchant_021</v>
      </c>
      <c r="K311" s="8" t="str">
        <f>IFERROR(IFNA(vlookup(C311,merchants!$A$1:$D$41,3,FALSE),"Merchant not found"), "Merchant not found")</f>
        <v>food_delivery</v>
      </c>
      <c r="L311" s="8" t="str">
        <f>IFERROR(IFNA(vlookup(C311,merchants!$A$1:$D$41,4,FALSE),"Merchant not found"), "Merchant not found")</f>
        <v>East</v>
      </c>
      <c r="M311" s="8">
        <f>IFERROR(IFNA(hlookup(G311,payment_methods!$A$1:$E$2,2,FALSE),"Payment method not found"), "Payment method not found")</f>
        <v>0</v>
      </c>
      <c r="N311" s="8">
        <f t="shared" si="2"/>
        <v>499</v>
      </c>
      <c r="O311" s="8" t="str">
        <f t="shared" si="3"/>
        <v>Normal</v>
      </c>
    </row>
    <row r="312" ht="15.75" customHeight="1">
      <c r="A312" s="3" t="s">
        <v>429</v>
      </c>
      <c r="B312" s="5">
        <v>14.0</v>
      </c>
      <c r="C312" s="5">
        <v>12.0</v>
      </c>
      <c r="D312" s="9">
        <v>46031.29652777778</v>
      </c>
      <c r="E312" s="10">
        <f t="shared" si="1"/>
        <v>46031</v>
      </c>
      <c r="F312" s="5">
        <v>799.0</v>
      </c>
      <c r="G312" s="3" t="s">
        <v>25</v>
      </c>
      <c r="H312" s="3" t="s">
        <v>48</v>
      </c>
      <c r="I312" s="5">
        <v>63.0</v>
      </c>
      <c r="J312" s="8" t="str">
        <f>IFERROR(IFNA(vlookup(C312,merchants!$A$1:$D$41,2,FALSE),"Merchant not found"), "Merchant not found")</f>
        <v>Merchant_012</v>
      </c>
      <c r="K312" s="8" t="str">
        <f>IFERROR(IFNA(vlookup(C312,merchants!$A$1:$D$41,3,FALSE),"Merchant not found"), "Merchant not found")</f>
        <v>ecommerce</v>
      </c>
      <c r="L312" s="8" t="str">
        <f>IFERROR(IFNA(vlookup(C312,merchants!$A$1:$D$41,4,FALSE),"Merchant not found"), "Merchant not found")</f>
        <v>East</v>
      </c>
      <c r="M312" s="8">
        <f>IFERROR(IFNA(hlookup(G312,payment_methods!$A$1:$E$2,2,FALSE),"Payment method not found"), "Payment method not found")</f>
        <v>0.005</v>
      </c>
      <c r="N312" s="8">
        <f t="shared" si="2"/>
        <v>799</v>
      </c>
      <c r="O312" s="8" t="str">
        <f t="shared" si="3"/>
        <v>Normal</v>
      </c>
    </row>
    <row r="313" ht="15.75" customHeight="1">
      <c r="A313" s="3" t="s">
        <v>430</v>
      </c>
      <c r="B313" s="5">
        <v>288.0</v>
      </c>
      <c r="C313" s="5">
        <v>8.0</v>
      </c>
      <c r="D313" s="9">
        <v>46039.54027777778</v>
      </c>
      <c r="E313" s="10">
        <f t="shared" si="1"/>
        <v>46039</v>
      </c>
      <c r="F313" s="5">
        <v>49.0</v>
      </c>
      <c r="G313" s="3" t="s">
        <v>20</v>
      </c>
      <c r="H313" s="3" t="s">
        <v>48</v>
      </c>
      <c r="I313" s="5">
        <v>33.0</v>
      </c>
      <c r="J313" s="8" t="str">
        <f>IFERROR(IFNA(vlookup(C313,merchants!$A$1:$D$41,2,FALSE),"Merchant not found"), "Merchant not found")</f>
        <v>Merchant_008</v>
      </c>
      <c r="K313" s="8" t="str">
        <f>IFERROR(IFNA(vlookup(C313,merchants!$A$1:$D$41,3,FALSE),"Merchant not found"), "Merchant not found")</f>
        <v>food_delivery</v>
      </c>
      <c r="L313" s="8" t="str">
        <f>IFERROR(IFNA(vlookup(C313,merchants!$A$1:$D$41,4,FALSE),"Merchant not found"), "Merchant not found")</f>
        <v>North</v>
      </c>
      <c r="M313" s="8">
        <f>IFERROR(IFNA(hlookup(G313,payment_methods!$A$1:$E$2,2,FALSE),"Payment method not found"), "Payment method not found")</f>
        <v>0</v>
      </c>
      <c r="N313" s="8">
        <f t="shared" si="2"/>
        <v>348</v>
      </c>
      <c r="O313" s="8" t="str">
        <f t="shared" si="3"/>
        <v>Normal</v>
      </c>
    </row>
    <row r="314" ht="15.75" customHeight="1">
      <c r="A314" s="3" t="s">
        <v>431</v>
      </c>
      <c r="B314" s="5">
        <v>229.0</v>
      </c>
      <c r="C314" s="5">
        <v>14.0</v>
      </c>
      <c r="D314" s="9">
        <v>46047.364583333336</v>
      </c>
      <c r="E314" s="10">
        <f t="shared" si="1"/>
        <v>46047</v>
      </c>
      <c r="F314" s="5">
        <v>1499.0</v>
      </c>
      <c r="G314" s="3" t="s">
        <v>20</v>
      </c>
      <c r="H314" s="3" t="s">
        <v>48</v>
      </c>
      <c r="I314" s="5">
        <v>78.0</v>
      </c>
      <c r="J314" s="8" t="str">
        <f>IFERROR(IFNA(vlookup(C314,merchants!$A$1:$D$41,2,FALSE),"Merchant not found"), "Merchant not found")</f>
        <v>Merchant_014</v>
      </c>
      <c r="K314" s="8" t="str">
        <f>IFERROR(IFNA(vlookup(C314,merchants!$A$1:$D$41,3,FALSE),"Merchant not found"), "Merchant not found")</f>
        <v>grocery</v>
      </c>
      <c r="L314" s="8" t="str">
        <f>IFERROR(IFNA(vlookup(C314,merchants!$A$1:$D$41,4,FALSE),"Merchant not found"), "Merchant not found")</f>
        <v>East</v>
      </c>
      <c r="M314" s="8">
        <f>IFERROR(IFNA(hlookup(G314,payment_methods!$A$1:$E$2,2,FALSE),"Payment method not found"), "Payment method not found")</f>
        <v>0</v>
      </c>
      <c r="N314" s="8">
        <f t="shared" si="2"/>
        <v>1598</v>
      </c>
      <c r="O314" s="8" t="str">
        <f t="shared" si="3"/>
        <v>Normal</v>
      </c>
    </row>
    <row r="315" ht="15.75" customHeight="1">
      <c r="A315" s="3" t="s">
        <v>432</v>
      </c>
      <c r="B315" s="5">
        <v>252.0</v>
      </c>
      <c r="C315" s="5">
        <v>13.0</v>
      </c>
      <c r="D315" s="9">
        <v>46032.95694444444</v>
      </c>
      <c r="E315" s="10">
        <f t="shared" si="1"/>
        <v>46032</v>
      </c>
      <c r="F315" s="5">
        <v>99.0</v>
      </c>
      <c r="G315" s="3" t="s">
        <v>15</v>
      </c>
      <c r="H315" s="3" t="s">
        <v>48</v>
      </c>
      <c r="I315" s="5">
        <v>15.0</v>
      </c>
      <c r="J315" s="8" t="str">
        <f>IFERROR(IFNA(vlookup(C315,merchants!$A$1:$D$41,2,FALSE),"Merchant not found"), "Merchant not found")</f>
        <v>Merchant_013</v>
      </c>
      <c r="K315" s="8" t="str">
        <f>IFERROR(IFNA(vlookup(C315,merchants!$A$1:$D$41,3,FALSE),"Merchant not found"), "Merchant not found")</f>
        <v>travel</v>
      </c>
      <c r="L315" s="8" t="str">
        <f>IFERROR(IFNA(vlookup(C315,merchants!$A$1:$D$41,4,FALSE),"Merchant not found"), "Merchant not found")</f>
        <v>East</v>
      </c>
      <c r="M315" s="8">
        <f>IFERROR(IFNA(hlookup(G315,payment_methods!$A$1:$E$2,2,FALSE),"Payment method not found"), "Payment method not found")</f>
        <v>0.0025</v>
      </c>
      <c r="N315" s="8">
        <f t="shared" si="2"/>
        <v>99</v>
      </c>
      <c r="O315" s="8" t="str">
        <f t="shared" si="3"/>
        <v>Normal</v>
      </c>
    </row>
    <row r="316" ht="15.75" customHeight="1">
      <c r="A316" s="3" t="s">
        <v>433</v>
      </c>
      <c r="B316" s="5">
        <v>89.0</v>
      </c>
      <c r="C316" s="5">
        <v>29.0</v>
      </c>
      <c r="D316" s="9">
        <v>46027.10277777778</v>
      </c>
      <c r="E316" s="10">
        <f t="shared" si="1"/>
        <v>46027</v>
      </c>
      <c r="F316" s="5">
        <v>799.0</v>
      </c>
      <c r="G316" s="3" t="s">
        <v>20</v>
      </c>
      <c r="H316" s="3" t="s">
        <v>48</v>
      </c>
      <c r="I316" s="5">
        <v>11.0</v>
      </c>
      <c r="J316" s="8" t="str">
        <f>IFERROR(IFNA(vlookup(C316,merchants!$A$1:$D$41,2,FALSE),"Merchant not found"), "Merchant not found")</f>
        <v>Merchant_029</v>
      </c>
      <c r="K316" s="8" t="str">
        <f>IFERROR(IFNA(vlookup(C316,merchants!$A$1:$D$41,3,FALSE),"Merchant not found"), "Merchant not found")</f>
        <v>ecommerce</v>
      </c>
      <c r="L316" s="8" t="str">
        <f>IFERROR(IFNA(vlookup(C316,merchants!$A$1:$D$41,4,FALSE),"Merchant not found"), "Merchant not found")</f>
        <v>North</v>
      </c>
      <c r="M316" s="8">
        <f>IFERROR(IFNA(hlookup(G316,payment_methods!$A$1:$E$2,2,FALSE),"Payment method not found"), "Payment method not found")</f>
        <v>0</v>
      </c>
      <c r="N316" s="8">
        <f t="shared" si="2"/>
        <v>799</v>
      </c>
      <c r="O316" s="8" t="str">
        <f t="shared" si="3"/>
        <v>Normal</v>
      </c>
    </row>
    <row r="317" ht="15.75" customHeight="1">
      <c r="A317" s="3" t="s">
        <v>434</v>
      </c>
      <c r="B317" s="5">
        <v>164.0</v>
      </c>
      <c r="C317" s="5">
        <v>23.0</v>
      </c>
      <c r="D317" s="9">
        <v>46048.9125</v>
      </c>
      <c r="E317" s="10">
        <f t="shared" si="1"/>
        <v>46048</v>
      </c>
      <c r="F317" s="5">
        <v>49.0</v>
      </c>
      <c r="G317" s="3" t="s">
        <v>25</v>
      </c>
      <c r="H317" s="3" t="s">
        <v>48</v>
      </c>
      <c r="I317" s="5">
        <v>90.0</v>
      </c>
      <c r="J317" s="8" t="str">
        <f>IFERROR(IFNA(vlookup(C317,merchants!$A$1:$D$41,2,FALSE),"Merchant not found"), "Merchant not found")</f>
        <v>Merchant_023</v>
      </c>
      <c r="K317" s="8" t="str">
        <f>IFERROR(IFNA(vlookup(C317,merchants!$A$1:$D$41,3,FALSE),"Merchant not found"), "Merchant not found")</f>
        <v>travel</v>
      </c>
      <c r="L317" s="8" t="str">
        <f>IFERROR(IFNA(vlookup(C317,merchants!$A$1:$D$41,4,FALSE),"Merchant not found"), "Merchant not found")</f>
        <v>North</v>
      </c>
      <c r="M317" s="8">
        <f>IFERROR(IFNA(hlookup(G317,payment_methods!$A$1:$E$2,2,FALSE),"Payment method not found"), "Payment method not found")</f>
        <v>0.005</v>
      </c>
      <c r="N317" s="8">
        <f t="shared" si="2"/>
        <v>49</v>
      </c>
      <c r="O317" s="8" t="str">
        <f t="shared" si="3"/>
        <v>Normal</v>
      </c>
    </row>
    <row r="318" ht="15.75" customHeight="1">
      <c r="A318" s="3" t="s">
        <v>435</v>
      </c>
      <c r="B318" s="5">
        <v>149.0</v>
      </c>
      <c r="C318" s="5">
        <v>20.0</v>
      </c>
      <c r="D318" s="9">
        <v>46025.731944444444</v>
      </c>
      <c r="E318" s="10">
        <f t="shared" si="1"/>
        <v>46025</v>
      </c>
      <c r="F318" s="5">
        <v>299.0</v>
      </c>
      <c r="G318" s="3" t="s">
        <v>15</v>
      </c>
      <c r="H318" s="3" t="s">
        <v>48</v>
      </c>
      <c r="I318" s="5">
        <v>20.0</v>
      </c>
      <c r="J318" s="8" t="str">
        <f>IFERROR(IFNA(vlookup(C318,merchants!$A$1:$D$41,2,FALSE),"Merchant not found"), "Merchant not found")</f>
        <v>Merchant_020</v>
      </c>
      <c r="K318" s="8" t="str">
        <f>IFERROR(IFNA(vlookup(C318,merchants!$A$1:$D$41,3,FALSE),"Merchant not found"), "Merchant not found")</f>
        <v>food_delivery</v>
      </c>
      <c r="L318" s="8" t="str">
        <f>IFERROR(IFNA(vlookup(C318,merchants!$A$1:$D$41,4,FALSE),"Merchant not found"), "Merchant not found")</f>
        <v>East</v>
      </c>
      <c r="M318" s="8">
        <f>IFERROR(IFNA(hlookup(G318,payment_methods!$A$1:$E$2,2,FALSE),"Payment method not found"), "Payment method not found")</f>
        <v>0.0025</v>
      </c>
      <c r="N318" s="8">
        <f t="shared" si="2"/>
        <v>348</v>
      </c>
      <c r="O318" s="8" t="str">
        <f t="shared" si="3"/>
        <v>Normal</v>
      </c>
    </row>
    <row r="319" ht="15.75" customHeight="1">
      <c r="A319" s="3" t="s">
        <v>436</v>
      </c>
      <c r="B319" s="5">
        <v>327.0</v>
      </c>
      <c r="C319" s="5">
        <v>12.0</v>
      </c>
      <c r="D319" s="9">
        <v>46045.95763888889</v>
      </c>
      <c r="E319" s="10">
        <f t="shared" si="1"/>
        <v>46045</v>
      </c>
      <c r="F319" s="5">
        <v>49.0</v>
      </c>
      <c r="G319" s="3" t="s">
        <v>25</v>
      </c>
      <c r="H319" s="3" t="s">
        <v>48</v>
      </c>
      <c r="I319" s="5">
        <v>46.0</v>
      </c>
      <c r="J319" s="8" t="str">
        <f>IFERROR(IFNA(vlookup(C319,merchants!$A$1:$D$41,2,FALSE),"Merchant not found"), "Merchant not found")</f>
        <v>Merchant_012</v>
      </c>
      <c r="K319" s="8" t="str">
        <f>IFERROR(IFNA(vlookup(C319,merchants!$A$1:$D$41,3,FALSE),"Merchant not found"), "Merchant not found")</f>
        <v>ecommerce</v>
      </c>
      <c r="L319" s="8" t="str">
        <f>IFERROR(IFNA(vlookup(C319,merchants!$A$1:$D$41,4,FALSE),"Merchant not found"), "Merchant not found")</f>
        <v>East</v>
      </c>
      <c r="M319" s="8">
        <f>IFERROR(IFNA(hlookup(G319,payment_methods!$A$1:$E$2,2,FALSE),"Payment method not found"), "Payment method not found")</f>
        <v>0.005</v>
      </c>
      <c r="N319" s="8">
        <f t="shared" si="2"/>
        <v>448</v>
      </c>
      <c r="O319" s="8" t="str">
        <f t="shared" si="3"/>
        <v>Normal</v>
      </c>
    </row>
    <row r="320" ht="15.75" customHeight="1">
      <c r="A320" s="3" t="s">
        <v>437</v>
      </c>
      <c r="B320" s="5">
        <v>103.0</v>
      </c>
      <c r="C320" s="5">
        <v>9.0</v>
      </c>
      <c r="D320" s="9">
        <v>46039.29652777778</v>
      </c>
      <c r="E320" s="10">
        <f t="shared" si="1"/>
        <v>46039</v>
      </c>
      <c r="F320" s="5">
        <v>149.0</v>
      </c>
      <c r="G320" s="3" t="s">
        <v>20</v>
      </c>
      <c r="H320" s="3" t="s">
        <v>48</v>
      </c>
      <c r="I320" s="5">
        <v>30.0</v>
      </c>
      <c r="J320" s="8" t="str">
        <f>IFERROR(IFNA(vlookup(C320,merchants!$A$1:$D$41,2,FALSE),"Merchant not found"), "Merchant not found")</f>
        <v>Merchant_009</v>
      </c>
      <c r="K320" s="8" t="str">
        <f>IFERROR(IFNA(vlookup(C320,merchants!$A$1:$D$41,3,FALSE),"Merchant not found"), "Merchant not found")</f>
        <v>ecommerce</v>
      </c>
      <c r="L320" s="8" t="str">
        <f>IFERROR(IFNA(vlookup(C320,merchants!$A$1:$D$41,4,FALSE),"Merchant not found"), "Merchant not found")</f>
        <v>North</v>
      </c>
      <c r="M320" s="8">
        <f>IFERROR(IFNA(hlookup(G320,payment_methods!$A$1:$E$2,2,FALSE),"Payment method not found"), "Payment method not found")</f>
        <v>0</v>
      </c>
      <c r="N320" s="8">
        <f t="shared" si="2"/>
        <v>248</v>
      </c>
      <c r="O320" s="8" t="str">
        <f t="shared" si="3"/>
        <v>Normal</v>
      </c>
    </row>
    <row r="321" ht="15.75" customHeight="1">
      <c r="A321" s="3" t="s">
        <v>438</v>
      </c>
      <c r="B321" s="5">
        <v>185.0</v>
      </c>
      <c r="C321" s="5">
        <v>36.0</v>
      </c>
      <c r="D321" s="9">
        <v>46048.62569444445</v>
      </c>
      <c r="E321" s="10">
        <f t="shared" si="1"/>
        <v>46048</v>
      </c>
      <c r="F321" s="5">
        <v>49.0</v>
      </c>
      <c r="G321" s="3" t="s">
        <v>15</v>
      </c>
      <c r="H321" s="3" t="s">
        <v>48</v>
      </c>
      <c r="I321" s="5">
        <v>73.0</v>
      </c>
      <c r="J321" s="8" t="str">
        <f>IFERROR(IFNA(vlookup(C321,merchants!$A$1:$D$41,2,FALSE),"Merchant not found"), "Merchant not found")</f>
        <v>Merchant_036</v>
      </c>
      <c r="K321" s="8" t="str">
        <f>IFERROR(IFNA(vlookup(C321,merchants!$A$1:$D$41,3,FALSE),"Merchant not found"), "Merchant not found")</f>
        <v>entertainment</v>
      </c>
      <c r="L321" s="8" t="str">
        <f>IFERROR(IFNA(vlookup(C321,merchants!$A$1:$D$41,4,FALSE),"Merchant not found"), "Merchant not found")</f>
        <v>East</v>
      </c>
      <c r="M321" s="8">
        <f>IFERROR(IFNA(hlookup(G321,payment_methods!$A$1:$E$2,2,FALSE),"Payment method not found"), "Payment method not found")</f>
        <v>0.0025</v>
      </c>
      <c r="N321" s="8">
        <f t="shared" si="2"/>
        <v>198</v>
      </c>
      <c r="O321" s="8" t="str">
        <f t="shared" si="3"/>
        <v>Normal</v>
      </c>
    </row>
    <row r="322" ht="15.75" customHeight="1">
      <c r="A322" s="3" t="s">
        <v>439</v>
      </c>
      <c r="B322" s="5">
        <v>283.0</v>
      </c>
      <c r="C322" s="5">
        <v>9.0</v>
      </c>
      <c r="D322" s="9">
        <v>46034.61875</v>
      </c>
      <c r="E322" s="10">
        <f t="shared" si="1"/>
        <v>46034</v>
      </c>
      <c r="F322" s="5">
        <v>299.0</v>
      </c>
      <c r="G322" s="3" t="s">
        <v>20</v>
      </c>
      <c r="H322" s="3" t="s">
        <v>48</v>
      </c>
      <c r="I322" s="5">
        <v>78.0</v>
      </c>
      <c r="J322" s="8" t="str">
        <f>IFERROR(IFNA(vlookup(C322,merchants!$A$1:$D$41,2,FALSE),"Merchant not found"), "Merchant not found")</f>
        <v>Merchant_009</v>
      </c>
      <c r="K322" s="8" t="str">
        <f>IFERROR(IFNA(vlookup(C322,merchants!$A$1:$D$41,3,FALSE),"Merchant not found"), "Merchant not found")</f>
        <v>ecommerce</v>
      </c>
      <c r="L322" s="8" t="str">
        <f>IFERROR(IFNA(vlookup(C322,merchants!$A$1:$D$41,4,FALSE),"Merchant not found"), "Merchant not found")</f>
        <v>North</v>
      </c>
      <c r="M322" s="8">
        <f>IFERROR(IFNA(hlookup(G322,payment_methods!$A$1:$E$2,2,FALSE),"Payment method not found"), "Payment method not found")</f>
        <v>0</v>
      </c>
      <c r="N322" s="8">
        <f t="shared" si="2"/>
        <v>299</v>
      </c>
      <c r="O322" s="8" t="str">
        <f t="shared" si="3"/>
        <v>Normal</v>
      </c>
    </row>
    <row r="323" ht="15.75" customHeight="1">
      <c r="A323" s="3" t="s">
        <v>440</v>
      </c>
      <c r="B323" s="5">
        <v>159.0</v>
      </c>
      <c r="C323" s="5">
        <v>26.0</v>
      </c>
      <c r="D323" s="9">
        <v>46051.08611111111</v>
      </c>
      <c r="E323" s="10">
        <f t="shared" si="1"/>
        <v>46051</v>
      </c>
      <c r="F323" s="5">
        <v>99.0</v>
      </c>
      <c r="G323" s="3" t="s">
        <v>20</v>
      </c>
      <c r="H323" s="3" t="s">
        <v>48</v>
      </c>
      <c r="I323" s="5">
        <v>91.0</v>
      </c>
      <c r="J323" s="8" t="str">
        <f>IFERROR(IFNA(vlookup(C323,merchants!$A$1:$D$41,2,FALSE),"Merchant not found"), "Merchant not found")</f>
        <v>Merchant_026</v>
      </c>
      <c r="K323" s="8" t="str">
        <f>IFERROR(IFNA(vlookup(C323,merchants!$A$1:$D$41,3,FALSE),"Merchant not found"), "Merchant not found")</f>
        <v>food_delivery</v>
      </c>
      <c r="L323" s="8" t="str">
        <f>IFERROR(IFNA(vlookup(C323,merchants!$A$1:$D$41,4,FALSE),"Merchant not found"), "Merchant not found")</f>
        <v>East</v>
      </c>
      <c r="M323" s="8">
        <f>IFERROR(IFNA(hlookup(G323,payment_methods!$A$1:$E$2,2,FALSE),"Payment method not found"), "Payment method not found")</f>
        <v>0</v>
      </c>
      <c r="N323" s="8">
        <f t="shared" si="2"/>
        <v>148</v>
      </c>
      <c r="O323" s="8" t="str">
        <f t="shared" si="3"/>
        <v>Normal</v>
      </c>
    </row>
    <row r="324" ht="15.75" customHeight="1">
      <c r="A324" s="3" t="s">
        <v>441</v>
      </c>
      <c r="B324" s="5">
        <v>211.0</v>
      </c>
      <c r="C324" s="5">
        <v>27.0</v>
      </c>
      <c r="D324" s="9">
        <v>46046.64791666667</v>
      </c>
      <c r="E324" s="10">
        <f t="shared" si="1"/>
        <v>46046</v>
      </c>
      <c r="F324" s="5">
        <v>99.0</v>
      </c>
      <c r="G324" s="3" t="s">
        <v>15</v>
      </c>
      <c r="H324" s="3" t="s">
        <v>48</v>
      </c>
      <c r="I324" s="5">
        <v>73.0</v>
      </c>
      <c r="J324" s="8" t="str">
        <f>IFERROR(IFNA(vlookup(C324,merchants!$A$1:$D$41,2,FALSE),"Merchant not found"), "Merchant not found")</f>
        <v>Merchant_027</v>
      </c>
      <c r="K324" s="8" t="str">
        <f>IFERROR(IFNA(vlookup(C324,merchants!$A$1:$D$41,3,FALSE),"Merchant not found"), "Merchant not found")</f>
        <v>ecommerce</v>
      </c>
      <c r="L324" s="8" t="str">
        <f>IFERROR(IFNA(vlookup(C324,merchants!$A$1:$D$41,4,FALSE),"Merchant not found"), "Merchant not found")</f>
        <v>North</v>
      </c>
      <c r="M324" s="8">
        <f>IFERROR(IFNA(hlookup(G324,payment_methods!$A$1:$E$2,2,FALSE),"Payment method not found"), "Payment method not found")</f>
        <v>0.0025</v>
      </c>
      <c r="N324" s="8">
        <f t="shared" si="2"/>
        <v>99</v>
      </c>
      <c r="O324" s="8" t="str">
        <f t="shared" si="3"/>
        <v>Normal</v>
      </c>
    </row>
    <row r="325" ht="15.75" customHeight="1">
      <c r="A325" s="3" t="s">
        <v>442</v>
      </c>
      <c r="B325" s="5">
        <v>329.0</v>
      </c>
      <c r="C325" s="5">
        <v>5.0</v>
      </c>
      <c r="D325" s="9">
        <v>46025.180555555555</v>
      </c>
      <c r="E325" s="10">
        <f t="shared" si="1"/>
        <v>46025</v>
      </c>
      <c r="F325" s="5">
        <v>499.0</v>
      </c>
      <c r="G325" s="3" t="s">
        <v>25</v>
      </c>
      <c r="H325" s="3" t="s">
        <v>48</v>
      </c>
      <c r="I325" s="5">
        <v>57.0</v>
      </c>
      <c r="J325" s="8" t="str">
        <f>IFERROR(IFNA(vlookup(C325,merchants!$A$1:$D$41,2,FALSE),"Merchant not found"), "Merchant not found")</f>
        <v>Merchant_005</v>
      </c>
      <c r="K325" s="8" t="str">
        <f>IFERROR(IFNA(vlookup(C325,merchants!$A$1:$D$41,3,FALSE),"Merchant not found"), "Merchant not found")</f>
        <v>recharge</v>
      </c>
      <c r="L325" s="8" t="str">
        <f>IFERROR(IFNA(vlookup(C325,merchants!$A$1:$D$41,4,FALSE),"Merchant not found"), "Merchant not found")</f>
        <v>South</v>
      </c>
      <c r="M325" s="8">
        <f>IFERROR(IFNA(hlookup(G325,payment_methods!$A$1:$E$2,2,FALSE),"Payment method not found"), "Payment method not found")</f>
        <v>0.005</v>
      </c>
      <c r="N325" s="8">
        <f t="shared" si="2"/>
        <v>499</v>
      </c>
      <c r="O325" s="8" t="str">
        <f t="shared" si="3"/>
        <v>Normal</v>
      </c>
    </row>
    <row r="326" ht="15.75" customHeight="1">
      <c r="A326" s="3" t="s">
        <v>443</v>
      </c>
      <c r="B326" s="5">
        <v>177.0</v>
      </c>
      <c r="C326" s="5">
        <v>9.0</v>
      </c>
      <c r="D326" s="9">
        <v>46037.89791666667</v>
      </c>
      <c r="E326" s="10">
        <f t="shared" si="1"/>
        <v>46037</v>
      </c>
      <c r="F326" s="5">
        <v>99.0</v>
      </c>
      <c r="G326" s="3" t="s">
        <v>20</v>
      </c>
      <c r="H326" s="3" t="s">
        <v>48</v>
      </c>
      <c r="I326" s="5">
        <v>99.0</v>
      </c>
      <c r="J326" s="8" t="str">
        <f>IFERROR(IFNA(vlookup(C326,merchants!$A$1:$D$41,2,FALSE),"Merchant not found"), "Merchant not found")</f>
        <v>Merchant_009</v>
      </c>
      <c r="K326" s="8" t="str">
        <f>IFERROR(IFNA(vlookup(C326,merchants!$A$1:$D$41,3,FALSE),"Merchant not found"), "Merchant not found")</f>
        <v>ecommerce</v>
      </c>
      <c r="L326" s="8" t="str">
        <f>IFERROR(IFNA(vlookup(C326,merchants!$A$1:$D$41,4,FALSE),"Merchant not found"), "Merchant not found")</f>
        <v>North</v>
      </c>
      <c r="M326" s="8">
        <f>IFERROR(IFNA(hlookup(G326,payment_methods!$A$1:$E$2,2,FALSE),"Payment method not found"), "Payment method not found")</f>
        <v>0</v>
      </c>
      <c r="N326" s="8">
        <f t="shared" si="2"/>
        <v>148</v>
      </c>
      <c r="O326" s="8" t="str">
        <f t="shared" si="3"/>
        <v>Normal</v>
      </c>
    </row>
    <row r="327" ht="15.75" customHeight="1">
      <c r="A327" s="3" t="s">
        <v>444</v>
      </c>
      <c r="B327" s="5">
        <v>94.0</v>
      </c>
      <c r="C327" s="5">
        <v>9.0</v>
      </c>
      <c r="D327" s="9">
        <v>46040.85902777778</v>
      </c>
      <c r="E327" s="10">
        <f t="shared" si="1"/>
        <v>46040</v>
      </c>
      <c r="F327" s="5">
        <v>299.0</v>
      </c>
      <c r="G327" s="3" t="s">
        <v>20</v>
      </c>
      <c r="H327" s="3" t="s">
        <v>48</v>
      </c>
      <c r="I327" s="5">
        <v>55.0</v>
      </c>
      <c r="J327" s="8" t="str">
        <f>IFERROR(IFNA(vlookup(C327,merchants!$A$1:$D$41,2,FALSE),"Merchant not found"), "Merchant not found")</f>
        <v>Merchant_009</v>
      </c>
      <c r="K327" s="8" t="str">
        <f>IFERROR(IFNA(vlookup(C327,merchants!$A$1:$D$41,3,FALSE),"Merchant not found"), "Merchant not found")</f>
        <v>ecommerce</v>
      </c>
      <c r="L327" s="8" t="str">
        <f>IFERROR(IFNA(vlookup(C327,merchants!$A$1:$D$41,4,FALSE),"Merchant not found"), "Merchant not found")</f>
        <v>North</v>
      </c>
      <c r="M327" s="8">
        <f>IFERROR(IFNA(hlookup(G327,payment_methods!$A$1:$E$2,2,FALSE),"Payment method not found"), "Payment method not found")</f>
        <v>0</v>
      </c>
      <c r="N327" s="8">
        <f t="shared" si="2"/>
        <v>299</v>
      </c>
      <c r="O327" s="8" t="str">
        <f t="shared" si="3"/>
        <v>Normal</v>
      </c>
    </row>
    <row r="328" ht="15.75" customHeight="1">
      <c r="A328" s="3" t="s">
        <v>445</v>
      </c>
      <c r="B328" s="5">
        <v>64.0</v>
      </c>
      <c r="C328" s="5">
        <v>34.0</v>
      </c>
      <c r="D328" s="9">
        <v>46039.07847222222</v>
      </c>
      <c r="E328" s="10">
        <f t="shared" si="1"/>
        <v>46039</v>
      </c>
      <c r="F328" s="5">
        <v>299.0</v>
      </c>
      <c r="G328" s="3" t="s">
        <v>20</v>
      </c>
      <c r="H328" s="3" t="s">
        <v>48</v>
      </c>
      <c r="I328" s="5">
        <v>19.0</v>
      </c>
      <c r="J328" s="8" t="str">
        <f>IFERROR(IFNA(vlookup(C328,merchants!$A$1:$D$41,2,FALSE),"Merchant not found"), "Merchant not found")</f>
        <v>Merchant_034</v>
      </c>
      <c r="K328" s="8" t="str">
        <f>IFERROR(IFNA(vlookup(C328,merchants!$A$1:$D$41,3,FALSE),"Merchant not found"), "Merchant not found")</f>
        <v>travel</v>
      </c>
      <c r="L328" s="8" t="str">
        <f>IFERROR(IFNA(vlookup(C328,merchants!$A$1:$D$41,4,FALSE),"Merchant not found"), "Merchant not found")</f>
        <v>South</v>
      </c>
      <c r="M328" s="8">
        <f>IFERROR(IFNA(hlookup(G328,payment_methods!$A$1:$E$2,2,FALSE),"Payment method not found"), "Payment method not found")</f>
        <v>0</v>
      </c>
      <c r="N328" s="8">
        <f t="shared" si="2"/>
        <v>299</v>
      </c>
      <c r="O328" s="8" t="str">
        <f t="shared" si="3"/>
        <v>Normal</v>
      </c>
    </row>
    <row r="329" ht="15.75" customHeight="1">
      <c r="A329" s="3" t="s">
        <v>446</v>
      </c>
      <c r="B329" s="5">
        <v>166.0</v>
      </c>
      <c r="C329" s="5">
        <v>15.0</v>
      </c>
      <c r="D329" s="9">
        <v>46032.21527777778</v>
      </c>
      <c r="E329" s="10">
        <f t="shared" si="1"/>
        <v>46032</v>
      </c>
      <c r="F329" s="5">
        <v>49.0</v>
      </c>
      <c r="G329" s="3" t="s">
        <v>20</v>
      </c>
      <c r="H329" s="3" t="s">
        <v>48</v>
      </c>
      <c r="I329" s="5">
        <v>44.0</v>
      </c>
      <c r="J329" s="8" t="str">
        <f>IFERROR(IFNA(vlookup(C329,merchants!$A$1:$D$41,2,FALSE),"Merchant not found"), "Merchant not found")</f>
        <v>Merchant_015</v>
      </c>
      <c r="K329" s="8" t="str">
        <f>IFERROR(IFNA(vlookup(C329,merchants!$A$1:$D$41,3,FALSE),"Merchant not found"), "Merchant not found")</f>
        <v>travel</v>
      </c>
      <c r="L329" s="8" t="str">
        <f>IFERROR(IFNA(vlookup(C329,merchants!$A$1:$D$41,4,FALSE),"Merchant not found"), "Merchant not found")</f>
        <v>North</v>
      </c>
      <c r="M329" s="8">
        <f>IFERROR(IFNA(hlookup(G329,payment_methods!$A$1:$E$2,2,FALSE),"Payment method not found"), "Payment method not found")</f>
        <v>0</v>
      </c>
      <c r="N329" s="8">
        <f t="shared" si="2"/>
        <v>49</v>
      </c>
      <c r="O329" s="8" t="str">
        <f t="shared" si="3"/>
        <v>Normal</v>
      </c>
    </row>
    <row r="330" ht="15.75" customHeight="1">
      <c r="A330" s="3" t="s">
        <v>447</v>
      </c>
      <c r="B330" s="5">
        <v>41.0</v>
      </c>
      <c r="C330" s="5">
        <v>17.0</v>
      </c>
      <c r="D330" s="9">
        <v>46039.4125</v>
      </c>
      <c r="E330" s="10">
        <f t="shared" si="1"/>
        <v>46039</v>
      </c>
      <c r="F330" s="5">
        <v>299.0</v>
      </c>
      <c r="G330" s="3" t="s">
        <v>15</v>
      </c>
      <c r="H330" s="3" t="s">
        <v>48</v>
      </c>
      <c r="I330" s="5">
        <v>25.0</v>
      </c>
      <c r="J330" s="8" t="str">
        <f>IFERROR(IFNA(vlookup(C330,merchants!$A$1:$D$41,2,FALSE),"Merchant not found"), "Merchant not found")</f>
        <v>Merchant_017</v>
      </c>
      <c r="K330" s="8" t="str">
        <f>IFERROR(IFNA(vlookup(C330,merchants!$A$1:$D$41,3,FALSE),"Merchant not found"), "Merchant not found")</f>
        <v>grocery</v>
      </c>
      <c r="L330" s="8" t="str">
        <f>IFERROR(IFNA(vlookup(C330,merchants!$A$1:$D$41,4,FALSE),"Merchant not found"), "Merchant not found")</f>
        <v>North</v>
      </c>
      <c r="M330" s="8">
        <f>IFERROR(IFNA(hlookup(G330,payment_methods!$A$1:$E$2,2,FALSE),"Payment method not found"), "Payment method not found")</f>
        <v>0.0025</v>
      </c>
      <c r="N330" s="8">
        <f t="shared" si="2"/>
        <v>299</v>
      </c>
      <c r="O330" s="8" t="str">
        <f t="shared" si="3"/>
        <v>Normal</v>
      </c>
    </row>
    <row r="331" ht="15.75" customHeight="1">
      <c r="A331" s="3" t="s">
        <v>448</v>
      </c>
      <c r="B331" s="5">
        <v>65.0</v>
      </c>
      <c r="C331" s="5">
        <v>20.0</v>
      </c>
      <c r="D331" s="9">
        <v>46043.720138888886</v>
      </c>
      <c r="E331" s="10">
        <f t="shared" si="1"/>
        <v>46043</v>
      </c>
      <c r="F331" s="5">
        <v>99.0</v>
      </c>
      <c r="G331" s="3" t="s">
        <v>22</v>
      </c>
      <c r="H331" s="3" t="s">
        <v>48</v>
      </c>
      <c r="I331" s="5">
        <v>78.0</v>
      </c>
      <c r="J331" s="8" t="str">
        <f>IFERROR(IFNA(vlookup(C331,merchants!$A$1:$D$41,2,FALSE),"Merchant not found"), "Merchant not found")</f>
        <v>Merchant_020</v>
      </c>
      <c r="K331" s="8" t="str">
        <f>IFERROR(IFNA(vlookup(C331,merchants!$A$1:$D$41,3,FALSE),"Merchant not found"), "Merchant not found")</f>
        <v>food_delivery</v>
      </c>
      <c r="L331" s="8" t="str">
        <f>IFERROR(IFNA(vlookup(C331,merchants!$A$1:$D$41,4,FALSE),"Merchant not found"), "Merchant not found")</f>
        <v>East</v>
      </c>
      <c r="M331" s="8">
        <f>IFERROR(IFNA(hlookup(G331,payment_methods!$A$1:$E$2,2,FALSE),"Payment method not found"), "Payment method not found")</f>
        <v>0.01</v>
      </c>
      <c r="N331" s="8">
        <f t="shared" si="2"/>
        <v>99</v>
      </c>
      <c r="O331" s="8" t="str">
        <f t="shared" si="3"/>
        <v>Normal</v>
      </c>
    </row>
    <row r="332" ht="15.75" customHeight="1">
      <c r="A332" s="3" t="s">
        <v>449</v>
      </c>
      <c r="B332" s="5">
        <v>329.0</v>
      </c>
      <c r="C332" s="5">
        <v>11.0</v>
      </c>
      <c r="D332" s="9">
        <v>46040.10555555556</v>
      </c>
      <c r="E332" s="10">
        <f t="shared" si="1"/>
        <v>46040</v>
      </c>
      <c r="F332" s="5">
        <v>499.0</v>
      </c>
      <c r="G332" s="3" t="s">
        <v>20</v>
      </c>
      <c r="H332" s="3" t="s">
        <v>48</v>
      </c>
      <c r="I332" s="5">
        <v>75.0</v>
      </c>
      <c r="J332" s="8" t="str">
        <f>IFERROR(IFNA(vlookup(C332,merchants!$A$1:$D$41,2,FALSE),"Merchant not found"), "Merchant not found")</f>
        <v>Merchant_011</v>
      </c>
      <c r="K332" s="8" t="str">
        <f>IFERROR(IFNA(vlookup(C332,merchants!$A$1:$D$41,3,FALSE),"Merchant not found"), "Merchant not found")</f>
        <v>ecommerce</v>
      </c>
      <c r="L332" s="8" t="str">
        <f>IFERROR(IFNA(vlookup(C332,merchants!$A$1:$D$41,4,FALSE),"Merchant not found"), "Merchant not found")</f>
        <v>North</v>
      </c>
      <c r="M332" s="8">
        <f>IFERROR(IFNA(hlookup(G332,payment_methods!$A$1:$E$2,2,FALSE),"Payment method not found"), "Payment method not found")</f>
        <v>0</v>
      </c>
      <c r="N332" s="8">
        <f t="shared" si="2"/>
        <v>499</v>
      </c>
      <c r="O332" s="8" t="str">
        <f t="shared" si="3"/>
        <v>Normal</v>
      </c>
    </row>
    <row r="333" ht="15.75" customHeight="1">
      <c r="A333" s="3" t="s">
        <v>450</v>
      </c>
      <c r="B333" s="5">
        <v>338.0</v>
      </c>
      <c r="C333" s="5">
        <v>40.0</v>
      </c>
      <c r="D333" s="9">
        <v>46041.17361111111</v>
      </c>
      <c r="E333" s="10">
        <f t="shared" si="1"/>
        <v>46041</v>
      </c>
      <c r="F333" s="5">
        <v>149.0</v>
      </c>
      <c r="G333" s="3" t="s">
        <v>20</v>
      </c>
      <c r="H333" s="3" t="s">
        <v>48</v>
      </c>
      <c r="I333" s="5">
        <v>92.0</v>
      </c>
      <c r="J333" s="8" t="str">
        <f>IFERROR(IFNA(vlookup(C333,merchants!$A$1:$D$41,2,FALSE),"Merchant not found"), "Merchant not found")</f>
        <v>Merchant_040</v>
      </c>
      <c r="K333" s="8" t="str">
        <f>IFERROR(IFNA(vlookup(C333,merchants!$A$1:$D$41,3,FALSE),"Merchant not found"), "Merchant not found")</f>
        <v>entertainment</v>
      </c>
      <c r="L333" s="8" t="str">
        <f>IFERROR(IFNA(vlookup(C333,merchants!$A$1:$D$41,4,FALSE),"Merchant not found"), "Merchant not found")</f>
        <v>South</v>
      </c>
      <c r="M333" s="8">
        <f>IFERROR(IFNA(hlookup(G333,payment_methods!$A$1:$E$2,2,FALSE),"Payment method not found"), "Payment method not found")</f>
        <v>0</v>
      </c>
      <c r="N333" s="8">
        <f t="shared" si="2"/>
        <v>648</v>
      </c>
      <c r="O333" s="8" t="str">
        <f t="shared" si="3"/>
        <v>Normal</v>
      </c>
    </row>
    <row r="334" ht="15.75" customHeight="1">
      <c r="A334" s="3" t="s">
        <v>451</v>
      </c>
      <c r="B334" s="5">
        <v>289.0</v>
      </c>
      <c r="C334" s="5">
        <v>3.0</v>
      </c>
      <c r="D334" s="9">
        <v>46051.80625</v>
      </c>
      <c r="E334" s="10">
        <f t="shared" si="1"/>
        <v>46051</v>
      </c>
      <c r="F334" s="5">
        <v>49.0</v>
      </c>
      <c r="G334" s="3" t="s">
        <v>25</v>
      </c>
      <c r="H334" s="3" t="s">
        <v>48</v>
      </c>
      <c r="I334" s="5">
        <v>3.0</v>
      </c>
      <c r="J334" s="8" t="str">
        <f>IFERROR(IFNA(vlookup(C334,merchants!$A$1:$D$41,2,FALSE),"Merchant not found"), "Merchant not found")</f>
        <v>Merchant_003</v>
      </c>
      <c r="K334" s="8" t="str">
        <f>IFERROR(IFNA(vlookup(C334,merchants!$A$1:$D$41,3,FALSE),"Merchant not found"), "Merchant not found")</f>
        <v>grocery</v>
      </c>
      <c r="L334" s="8" t="str">
        <f>IFERROR(IFNA(vlookup(C334,merchants!$A$1:$D$41,4,FALSE),"Merchant not found"), "Merchant not found")</f>
        <v>East</v>
      </c>
      <c r="M334" s="8">
        <f>IFERROR(IFNA(hlookup(G334,payment_methods!$A$1:$E$2,2,FALSE),"Payment method not found"), "Payment method not found")</f>
        <v>0.005</v>
      </c>
      <c r="N334" s="8">
        <f t="shared" si="2"/>
        <v>49</v>
      </c>
      <c r="O334" s="8" t="str">
        <f t="shared" si="3"/>
        <v>Normal</v>
      </c>
    </row>
    <row r="335" ht="15.75" customHeight="1">
      <c r="A335" s="3" t="s">
        <v>452</v>
      </c>
      <c r="B335" s="5">
        <v>296.0</v>
      </c>
      <c r="C335" s="5">
        <v>17.0</v>
      </c>
      <c r="D335" s="9">
        <v>46025.07013888889</v>
      </c>
      <c r="E335" s="10">
        <f t="shared" si="1"/>
        <v>46025</v>
      </c>
      <c r="F335" s="5">
        <v>99.0</v>
      </c>
      <c r="G335" s="3" t="s">
        <v>20</v>
      </c>
      <c r="H335" s="3" t="s">
        <v>48</v>
      </c>
      <c r="I335" s="5">
        <v>83.0</v>
      </c>
      <c r="J335" s="8" t="str">
        <f>IFERROR(IFNA(vlookup(C335,merchants!$A$1:$D$41,2,FALSE),"Merchant not found"), "Merchant not found")</f>
        <v>Merchant_017</v>
      </c>
      <c r="K335" s="8" t="str">
        <f>IFERROR(IFNA(vlookup(C335,merchants!$A$1:$D$41,3,FALSE),"Merchant not found"), "Merchant not found")</f>
        <v>grocery</v>
      </c>
      <c r="L335" s="8" t="str">
        <f>IFERROR(IFNA(vlookup(C335,merchants!$A$1:$D$41,4,FALSE),"Merchant not found"), "Merchant not found")</f>
        <v>North</v>
      </c>
      <c r="M335" s="8">
        <f>IFERROR(IFNA(hlookup(G335,payment_methods!$A$1:$E$2,2,FALSE),"Payment method not found"), "Payment method not found")</f>
        <v>0</v>
      </c>
      <c r="N335" s="8">
        <f t="shared" si="2"/>
        <v>398</v>
      </c>
      <c r="O335" s="8" t="str">
        <f t="shared" si="3"/>
        <v>Normal</v>
      </c>
    </row>
    <row r="336" ht="15.75" customHeight="1">
      <c r="A336" s="3" t="s">
        <v>453</v>
      </c>
      <c r="B336" s="5">
        <v>317.0</v>
      </c>
      <c r="C336" s="5">
        <v>2.0</v>
      </c>
      <c r="D336" s="9">
        <v>46029.768055555556</v>
      </c>
      <c r="E336" s="10">
        <f t="shared" si="1"/>
        <v>46029</v>
      </c>
      <c r="F336" s="5">
        <v>499.0</v>
      </c>
      <c r="G336" s="3" t="s">
        <v>22</v>
      </c>
      <c r="H336" s="3" t="s">
        <v>48</v>
      </c>
      <c r="I336" s="5">
        <v>63.0</v>
      </c>
      <c r="J336" s="8" t="str">
        <f>IFERROR(IFNA(vlookup(C336,merchants!$A$1:$D$41,2,FALSE),"Merchant not found"), "Merchant not found")</f>
        <v>Merchant_002</v>
      </c>
      <c r="K336" s="8" t="str">
        <f>IFERROR(IFNA(vlookup(C336,merchants!$A$1:$D$41,3,FALSE),"Merchant not found"), "Merchant not found")</f>
        <v>grocery</v>
      </c>
      <c r="L336" s="8" t="str">
        <f>IFERROR(IFNA(vlookup(C336,merchants!$A$1:$D$41,4,FALSE),"Merchant not found"), "Merchant not found")</f>
        <v>West</v>
      </c>
      <c r="M336" s="8">
        <f>IFERROR(IFNA(hlookup(G336,payment_methods!$A$1:$E$2,2,FALSE),"Payment method not found"), "Payment method not found")</f>
        <v>0.01</v>
      </c>
      <c r="N336" s="8">
        <f t="shared" si="2"/>
        <v>499</v>
      </c>
      <c r="O336" s="8" t="str">
        <f t="shared" si="3"/>
        <v>Normal</v>
      </c>
    </row>
    <row r="337" ht="15.75" customHeight="1">
      <c r="A337" s="3" t="s">
        <v>454</v>
      </c>
      <c r="B337" s="5">
        <v>149.0</v>
      </c>
      <c r="C337" s="5">
        <v>20.0</v>
      </c>
      <c r="D337" s="9">
        <v>46051.856944444444</v>
      </c>
      <c r="E337" s="10">
        <f t="shared" si="1"/>
        <v>46051</v>
      </c>
      <c r="F337" s="5">
        <v>499.0</v>
      </c>
      <c r="G337" s="3" t="s">
        <v>22</v>
      </c>
      <c r="H337" s="3" t="s">
        <v>48</v>
      </c>
      <c r="I337" s="5">
        <v>61.0</v>
      </c>
      <c r="J337" s="8" t="str">
        <f>IFERROR(IFNA(vlookup(C337,merchants!$A$1:$D$41,2,FALSE),"Merchant not found"), "Merchant not found")</f>
        <v>Merchant_020</v>
      </c>
      <c r="K337" s="8" t="str">
        <f>IFERROR(IFNA(vlookup(C337,merchants!$A$1:$D$41,3,FALSE),"Merchant not found"), "Merchant not found")</f>
        <v>food_delivery</v>
      </c>
      <c r="L337" s="8" t="str">
        <f>IFERROR(IFNA(vlookup(C337,merchants!$A$1:$D$41,4,FALSE),"Merchant not found"), "Merchant not found")</f>
        <v>East</v>
      </c>
      <c r="M337" s="8">
        <f>IFERROR(IFNA(hlookup(G337,payment_methods!$A$1:$E$2,2,FALSE),"Payment method not found"), "Payment method not found")</f>
        <v>0.01</v>
      </c>
      <c r="N337" s="8">
        <f t="shared" si="2"/>
        <v>499</v>
      </c>
      <c r="O337" s="8" t="str">
        <f t="shared" si="3"/>
        <v>Normal</v>
      </c>
    </row>
    <row r="338" ht="15.75" customHeight="1">
      <c r="A338" s="3" t="s">
        <v>455</v>
      </c>
      <c r="B338" s="5">
        <v>153.0</v>
      </c>
      <c r="C338" s="5">
        <v>30.0</v>
      </c>
      <c r="D338" s="9">
        <v>46030.89236111111</v>
      </c>
      <c r="E338" s="10">
        <f t="shared" si="1"/>
        <v>46030</v>
      </c>
      <c r="F338" s="5">
        <v>299.0</v>
      </c>
      <c r="G338" s="3" t="s">
        <v>20</v>
      </c>
      <c r="H338" s="3" t="s">
        <v>48</v>
      </c>
      <c r="I338" s="5">
        <v>9.0</v>
      </c>
      <c r="J338" s="8" t="str">
        <f>IFERROR(IFNA(vlookup(C338,merchants!$A$1:$D$41,2,FALSE),"Merchant not found"), "Merchant not found")</f>
        <v>Merchant_030</v>
      </c>
      <c r="K338" s="8" t="str">
        <f>IFERROR(IFNA(vlookup(C338,merchants!$A$1:$D$41,3,FALSE),"Merchant not found"), "Merchant not found")</f>
        <v>travel</v>
      </c>
      <c r="L338" s="8" t="str">
        <f>IFERROR(IFNA(vlookup(C338,merchants!$A$1:$D$41,4,FALSE),"Merchant not found"), "Merchant not found")</f>
        <v>West</v>
      </c>
      <c r="M338" s="8">
        <f>IFERROR(IFNA(hlookup(G338,payment_methods!$A$1:$E$2,2,FALSE),"Payment method not found"), "Payment method not found")</f>
        <v>0</v>
      </c>
      <c r="N338" s="8">
        <f t="shared" si="2"/>
        <v>1197</v>
      </c>
      <c r="O338" s="8" t="str">
        <f t="shared" si="3"/>
        <v>Normal</v>
      </c>
    </row>
    <row r="339" ht="15.75" customHeight="1">
      <c r="A339" s="3" t="s">
        <v>456</v>
      </c>
      <c r="B339" s="5">
        <v>226.0</v>
      </c>
      <c r="C339" s="5">
        <v>27.0</v>
      </c>
      <c r="D339" s="9">
        <v>46045.04861111111</v>
      </c>
      <c r="E339" s="10">
        <f t="shared" si="1"/>
        <v>46045</v>
      </c>
      <c r="F339" s="5">
        <v>2999.0</v>
      </c>
      <c r="G339" s="3" t="s">
        <v>20</v>
      </c>
      <c r="H339" s="3" t="s">
        <v>81</v>
      </c>
      <c r="I339" s="5">
        <v>61.0</v>
      </c>
      <c r="J339" s="8" t="str">
        <f>IFERROR(IFNA(vlookup(C339,merchants!$A$1:$D$41,2,FALSE),"Merchant not found"), "Merchant not found")</f>
        <v>Merchant_027</v>
      </c>
      <c r="K339" s="8" t="str">
        <f>IFERROR(IFNA(vlookup(C339,merchants!$A$1:$D$41,3,FALSE),"Merchant not found"), "Merchant not found")</f>
        <v>ecommerce</v>
      </c>
      <c r="L339" s="8" t="str">
        <f>IFERROR(IFNA(vlookup(C339,merchants!$A$1:$D$41,4,FALSE),"Merchant not found"), "Merchant not found")</f>
        <v>North</v>
      </c>
      <c r="M339" s="8">
        <f>IFERROR(IFNA(hlookup(G339,payment_methods!$A$1:$E$2,2,FALSE),"Payment method not found"), "Payment method not found")</f>
        <v>0</v>
      </c>
      <c r="N339" s="8">
        <f t="shared" si="2"/>
        <v>3998</v>
      </c>
      <c r="O339" s="8" t="str">
        <f t="shared" si="3"/>
        <v>Normal</v>
      </c>
    </row>
    <row r="340" ht="15.75" customHeight="1">
      <c r="A340" s="3" t="s">
        <v>457</v>
      </c>
      <c r="B340" s="5">
        <v>311.0</v>
      </c>
      <c r="C340" s="5">
        <v>10.0</v>
      </c>
      <c r="D340" s="9">
        <v>46037.26458333333</v>
      </c>
      <c r="E340" s="10">
        <f t="shared" si="1"/>
        <v>46037</v>
      </c>
      <c r="F340" s="5">
        <v>2999.0</v>
      </c>
      <c r="G340" s="3" t="s">
        <v>20</v>
      </c>
      <c r="H340" s="3" t="s">
        <v>48</v>
      </c>
      <c r="I340" s="5">
        <v>40.0</v>
      </c>
      <c r="J340" s="8" t="str">
        <f>IFERROR(IFNA(vlookup(C340,merchants!$A$1:$D$41,2,FALSE),"Merchant not found"), "Merchant not found")</f>
        <v>Merchant_010</v>
      </c>
      <c r="K340" s="8" t="str">
        <f>IFERROR(IFNA(vlookup(C340,merchants!$A$1:$D$41,3,FALSE),"Merchant not found"), "Merchant not found")</f>
        <v>grocery</v>
      </c>
      <c r="L340" s="8" t="str">
        <f>IFERROR(IFNA(vlookup(C340,merchants!$A$1:$D$41,4,FALSE),"Merchant not found"), "Merchant not found")</f>
        <v>West</v>
      </c>
      <c r="M340" s="8">
        <f>IFERROR(IFNA(hlookup(G340,payment_methods!$A$1:$E$2,2,FALSE),"Payment method not found"), "Payment method not found")</f>
        <v>0</v>
      </c>
      <c r="N340" s="8">
        <f t="shared" si="2"/>
        <v>2999</v>
      </c>
      <c r="O340" s="8" t="str">
        <f t="shared" si="3"/>
        <v>Normal</v>
      </c>
    </row>
    <row r="341" ht="15.75" customHeight="1">
      <c r="A341" s="3" t="s">
        <v>458</v>
      </c>
      <c r="B341" s="5">
        <v>177.0</v>
      </c>
      <c r="C341" s="5">
        <v>26.0</v>
      </c>
      <c r="D341" s="9">
        <v>46050.930555555555</v>
      </c>
      <c r="E341" s="10">
        <f t="shared" si="1"/>
        <v>46050</v>
      </c>
      <c r="F341" s="5">
        <v>1499.0</v>
      </c>
      <c r="G341" s="3" t="s">
        <v>20</v>
      </c>
      <c r="H341" s="3" t="s">
        <v>48</v>
      </c>
      <c r="I341" s="5">
        <v>16.0</v>
      </c>
      <c r="J341" s="8" t="str">
        <f>IFERROR(IFNA(vlookup(C341,merchants!$A$1:$D$41,2,FALSE),"Merchant not found"), "Merchant not found")</f>
        <v>Merchant_026</v>
      </c>
      <c r="K341" s="8" t="str">
        <f>IFERROR(IFNA(vlookup(C341,merchants!$A$1:$D$41,3,FALSE),"Merchant not found"), "Merchant not found")</f>
        <v>food_delivery</v>
      </c>
      <c r="L341" s="8" t="str">
        <f>IFERROR(IFNA(vlookup(C341,merchants!$A$1:$D$41,4,FALSE),"Merchant not found"), "Merchant not found")</f>
        <v>East</v>
      </c>
      <c r="M341" s="8">
        <f>IFERROR(IFNA(hlookup(G341,payment_methods!$A$1:$E$2,2,FALSE),"Payment method not found"), "Payment method not found")</f>
        <v>0</v>
      </c>
      <c r="N341" s="8">
        <f t="shared" si="2"/>
        <v>1499</v>
      </c>
      <c r="O341" s="8" t="str">
        <f t="shared" si="3"/>
        <v>Normal</v>
      </c>
    </row>
    <row r="342" ht="15.75" customHeight="1">
      <c r="A342" s="3" t="s">
        <v>459</v>
      </c>
      <c r="B342" s="5">
        <v>288.0</v>
      </c>
      <c r="C342" s="5">
        <v>7.0</v>
      </c>
      <c r="D342" s="9">
        <v>46047.48055555556</v>
      </c>
      <c r="E342" s="10">
        <f t="shared" si="1"/>
        <v>46047</v>
      </c>
      <c r="F342" s="5">
        <v>99.0</v>
      </c>
      <c r="G342" s="3" t="s">
        <v>25</v>
      </c>
      <c r="H342" s="3" t="s">
        <v>48</v>
      </c>
      <c r="I342" s="5">
        <v>40.0</v>
      </c>
      <c r="J342" s="8" t="str">
        <f>IFERROR(IFNA(vlookup(C342,merchants!$A$1:$D$41,2,FALSE),"Merchant not found"), "Merchant not found")</f>
        <v>Merchant_007</v>
      </c>
      <c r="K342" s="8" t="str">
        <f>IFERROR(IFNA(vlookup(C342,merchants!$A$1:$D$41,3,FALSE),"Merchant not found"), "Merchant not found")</f>
        <v>food_delivery</v>
      </c>
      <c r="L342" s="8" t="str">
        <f>IFERROR(IFNA(vlookup(C342,merchants!$A$1:$D$41,4,FALSE),"Merchant not found"), "Merchant not found")</f>
        <v>East</v>
      </c>
      <c r="M342" s="8">
        <f>IFERROR(IFNA(hlookup(G342,payment_methods!$A$1:$E$2,2,FALSE),"Payment method not found"), "Payment method not found")</f>
        <v>0.005</v>
      </c>
      <c r="N342" s="8">
        <f t="shared" si="2"/>
        <v>99</v>
      </c>
      <c r="O342" s="8" t="str">
        <f t="shared" si="3"/>
        <v>Normal</v>
      </c>
    </row>
    <row r="343" ht="15.75" customHeight="1">
      <c r="A343" s="3" t="s">
        <v>460</v>
      </c>
      <c r="B343" s="5">
        <v>137.0</v>
      </c>
      <c r="C343" s="5">
        <v>29.0</v>
      </c>
      <c r="D343" s="9">
        <v>46030.58819444444</v>
      </c>
      <c r="E343" s="10">
        <f t="shared" si="1"/>
        <v>46030</v>
      </c>
      <c r="F343" s="5">
        <v>2999.0</v>
      </c>
      <c r="G343" s="3" t="s">
        <v>20</v>
      </c>
      <c r="H343" s="3" t="s">
        <v>78</v>
      </c>
      <c r="I343" s="5">
        <v>31.0</v>
      </c>
      <c r="J343" s="8" t="str">
        <f>IFERROR(IFNA(vlookup(C343,merchants!$A$1:$D$41,2,FALSE),"Merchant not found"), "Merchant not found")</f>
        <v>Merchant_029</v>
      </c>
      <c r="K343" s="8" t="str">
        <f>IFERROR(IFNA(vlookup(C343,merchants!$A$1:$D$41,3,FALSE),"Merchant not found"), "Merchant not found")</f>
        <v>ecommerce</v>
      </c>
      <c r="L343" s="8" t="str">
        <f>IFERROR(IFNA(vlookup(C343,merchants!$A$1:$D$41,4,FALSE),"Merchant not found"), "Merchant not found")</f>
        <v>North</v>
      </c>
      <c r="M343" s="8">
        <f>IFERROR(IFNA(hlookup(G343,payment_methods!$A$1:$E$2,2,FALSE),"Payment method not found"), "Payment method not found")</f>
        <v>0</v>
      </c>
      <c r="N343" s="8">
        <f t="shared" si="2"/>
        <v>2999</v>
      </c>
      <c r="O343" s="8" t="str">
        <f t="shared" si="3"/>
        <v>Normal</v>
      </c>
    </row>
    <row r="344" ht="15.75" customHeight="1">
      <c r="A344" s="3" t="s">
        <v>461</v>
      </c>
      <c r="B344" s="5">
        <v>149.0</v>
      </c>
      <c r="C344" s="5">
        <v>25.0</v>
      </c>
      <c r="D344" s="9">
        <v>46027.12708333333</v>
      </c>
      <c r="E344" s="10">
        <f t="shared" si="1"/>
        <v>46027</v>
      </c>
      <c r="F344" s="5">
        <v>1499.0</v>
      </c>
      <c r="G344" s="3" t="s">
        <v>20</v>
      </c>
      <c r="H344" s="3" t="s">
        <v>48</v>
      </c>
      <c r="I344" s="5">
        <v>78.0</v>
      </c>
      <c r="J344" s="8" t="str">
        <f>IFERROR(IFNA(vlookup(C344,merchants!$A$1:$D$41,2,FALSE),"Merchant not found"), "Merchant not found")</f>
        <v>Merchant_025</v>
      </c>
      <c r="K344" s="8" t="str">
        <f>IFERROR(IFNA(vlookup(C344,merchants!$A$1:$D$41,3,FALSE),"Merchant not found"), "Merchant not found")</f>
        <v>travel</v>
      </c>
      <c r="L344" s="8" t="str">
        <f>IFERROR(IFNA(vlookup(C344,merchants!$A$1:$D$41,4,FALSE),"Merchant not found"), "Merchant not found")</f>
        <v>South</v>
      </c>
      <c r="M344" s="8">
        <f>IFERROR(IFNA(hlookup(G344,payment_methods!$A$1:$E$2,2,FALSE),"Payment method not found"), "Payment method not found")</f>
        <v>0</v>
      </c>
      <c r="N344" s="8">
        <f t="shared" si="2"/>
        <v>4498</v>
      </c>
      <c r="O344" s="8" t="str">
        <f t="shared" si="3"/>
        <v>Normal</v>
      </c>
    </row>
    <row r="345" ht="15.75" customHeight="1">
      <c r="A345" s="3" t="s">
        <v>462</v>
      </c>
      <c r="B345" s="5">
        <v>82.0</v>
      </c>
      <c r="C345" s="5">
        <v>21.0</v>
      </c>
      <c r="D345" s="9">
        <v>46036.32986111111</v>
      </c>
      <c r="E345" s="10">
        <f t="shared" si="1"/>
        <v>46036</v>
      </c>
      <c r="F345" s="5">
        <v>49.0</v>
      </c>
      <c r="G345" s="3" t="s">
        <v>15</v>
      </c>
      <c r="H345" s="3" t="s">
        <v>48</v>
      </c>
      <c r="I345" s="5">
        <v>73.0</v>
      </c>
      <c r="J345" s="8" t="str">
        <f>IFERROR(IFNA(vlookup(C345,merchants!$A$1:$D$41,2,FALSE),"Merchant not found"), "Merchant not found")</f>
        <v>Merchant_021</v>
      </c>
      <c r="K345" s="8" t="str">
        <f>IFERROR(IFNA(vlookup(C345,merchants!$A$1:$D$41,3,FALSE),"Merchant not found"), "Merchant not found")</f>
        <v>food_delivery</v>
      </c>
      <c r="L345" s="8" t="str">
        <f>IFERROR(IFNA(vlookup(C345,merchants!$A$1:$D$41,4,FALSE),"Merchant not found"), "Merchant not found")</f>
        <v>East</v>
      </c>
      <c r="M345" s="8">
        <f>IFERROR(IFNA(hlookup(G345,payment_methods!$A$1:$E$2,2,FALSE),"Payment method not found"), "Payment method not found")</f>
        <v>0.0025</v>
      </c>
      <c r="N345" s="8">
        <f t="shared" si="2"/>
        <v>49</v>
      </c>
      <c r="O345" s="8" t="str">
        <f t="shared" si="3"/>
        <v>Normal</v>
      </c>
    </row>
    <row r="346" ht="15.75" customHeight="1">
      <c r="A346" s="3" t="s">
        <v>463</v>
      </c>
      <c r="B346" s="5">
        <v>82.0</v>
      </c>
      <c r="C346" s="5">
        <v>32.0</v>
      </c>
      <c r="D346" s="9">
        <v>46046.425</v>
      </c>
      <c r="E346" s="10">
        <f t="shared" si="1"/>
        <v>46046</v>
      </c>
      <c r="F346" s="5">
        <v>49.0</v>
      </c>
      <c r="G346" s="3" t="s">
        <v>20</v>
      </c>
      <c r="H346" s="3" t="s">
        <v>48</v>
      </c>
      <c r="I346" s="5">
        <v>65.0</v>
      </c>
      <c r="J346" s="8" t="str">
        <f>IFERROR(IFNA(vlookup(C346,merchants!$A$1:$D$41,2,FALSE),"Merchant not found"), "Merchant not found")</f>
        <v>Merchant_032</v>
      </c>
      <c r="K346" s="8" t="str">
        <f>IFERROR(IFNA(vlookup(C346,merchants!$A$1:$D$41,3,FALSE),"Merchant not found"), "Merchant not found")</f>
        <v>food_delivery</v>
      </c>
      <c r="L346" s="8" t="str">
        <f>IFERROR(IFNA(vlookup(C346,merchants!$A$1:$D$41,4,FALSE),"Merchant not found"), "Merchant not found")</f>
        <v>West</v>
      </c>
      <c r="M346" s="8">
        <f>IFERROR(IFNA(hlookup(G346,payment_methods!$A$1:$E$2,2,FALSE),"Payment method not found"), "Payment method not found")</f>
        <v>0</v>
      </c>
      <c r="N346" s="8">
        <f t="shared" si="2"/>
        <v>49</v>
      </c>
      <c r="O346" s="8" t="str">
        <f t="shared" si="3"/>
        <v>Normal</v>
      </c>
    </row>
    <row r="347" ht="15.75" customHeight="1">
      <c r="A347" s="3" t="s">
        <v>464</v>
      </c>
      <c r="B347" s="5">
        <v>158.0</v>
      </c>
      <c r="C347" s="5">
        <v>32.0</v>
      </c>
      <c r="D347" s="9">
        <v>46037.66388888889</v>
      </c>
      <c r="E347" s="10">
        <f t="shared" si="1"/>
        <v>46037</v>
      </c>
      <c r="F347" s="5">
        <v>99.0</v>
      </c>
      <c r="G347" s="3" t="s">
        <v>15</v>
      </c>
      <c r="H347" s="3" t="s">
        <v>48</v>
      </c>
      <c r="I347" s="5">
        <v>2.0</v>
      </c>
      <c r="J347" s="8" t="str">
        <f>IFERROR(IFNA(vlookup(C347,merchants!$A$1:$D$41,2,FALSE),"Merchant not found"), "Merchant not found")</f>
        <v>Merchant_032</v>
      </c>
      <c r="K347" s="8" t="str">
        <f>IFERROR(IFNA(vlookup(C347,merchants!$A$1:$D$41,3,FALSE),"Merchant not found"), "Merchant not found")</f>
        <v>food_delivery</v>
      </c>
      <c r="L347" s="8" t="str">
        <f>IFERROR(IFNA(vlookup(C347,merchants!$A$1:$D$41,4,FALSE),"Merchant not found"), "Merchant not found")</f>
        <v>West</v>
      </c>
      <c r="M347" s="8">
        <f>IFERROR(IFNA(hlookup(G347,payment_methods!$A$1:$E$2,2,FALSE),"Payment method not found"), "Payment method not found")</f>
        <v>0.0025</v>
      </c>
      <c r="N347" s="8">
        <f t="shared" si="2"/>
        <v>148</v>
      </c>
      <c r="O347" s="8" t="str">
        <f t="shared" si="3"/>
        <v>Normal</v>
      </c>
    </row>
    <row r="348" ht="15.75" customHeight="1">
      <c r="A348" s="3" t="s">
        <v>465</v>
      </c>
      <c r="B348" s="5">
        <v>235.0</v>
      </c>
      <c r="C348" s="5">
        <v>16.0</v>
      </c>
      <c r="D348" s="9">
        <v>46025.52222222222</v>
      </c>
      <c r="E348" s="10">
        <f t="shared" si="1"/>
        <v>46025</v>
      </c>
      <c r="F348" s="5">
        <v>99.0</v>
      </c>
      <c r="G348" s="3" t="s">
        <v>20</v>
      </c>
      <c r="H348" s="3" t="s">
        <v>48</v>
      </c>
      <c r="I348" s="5">
        <v>27.0</v>
      </c>
      <c r="J348" s="8" t="str">
        <f>IFERROR(IFNA(vlookup(C348,merchants!$A$1:$D$41,2,FALSE),"Merchant not found"), "Merchant not found")</f>
        <v>Merchant_016</v>
      </c>
      <c r="K348" s="8" t="str">
        <f>IFERROR(IFNA(vlookup(C348,merchants!$A$1:$D$41,3,FALSE),"Merchant not found"), "Merchant not found")</f>
        <v>bill_payment</v>
      </c>
      <c r="L348" s="8" t="str">
        <f>IFERROR(IFNA(vlookup(C348,merchants!$A$1:$D$41,4,FALSE),"Merchant not found"), "Merchant not found")</f>
        <v>West</v>
      </c>
      <c r="M348" s="8">
        <f>IFERROR(IFNA(hlookup(G348,payment_methods!$A$1:$E$2,2,FALSE),"Payment method not found"), "Payment method not found")</f>
        <v>0</v>
      </c>
      <c r="N348" s="8">
        <f t="shared" si="2"/>
        <v>99</v>
      </c>
      <c r="O348" s="8" t="str">
        <f t="shared" si="3"/>
        <v>Normal</v>
      </c>
    </row>
    <row r="349" ht="15.75" customHeight="1">
      <c r="A349" s="3" t="s">
        <v>466</v>
      </c>
      <c r="B349" s="5">
        <v>26.0</v>
      </c>
      <c r="C349" s="5">
        <v>19.0</v>
      </c>
      <c r="D349" s="9">
        <v>46041.46041666667</v>
      </c>
      <c r="E349" s="10">
        <f t="shared" si="1"/>
        <v>46041</v>
      </c>
      <c r="F349" s="5">
        <v>99.0</v>
      </c>
      <c r="G349" s="3" t="s">
        <v>15</v>
      </c>
      <c r="H349" s="3" t="s">
        <v>48</v>
      </c>
      <c r="I349" s="5">
        <v>63.0</v>
      </c>
      <c r="J349" s="8" t="str">
        <f>IFERROR(IFNA(vlookup(C349,merchants!$A$1:$D$41,2,FALSE),"Merchant not found"), "Merchant not found")</f>
        <v>Merchant_019</v>
      </c>
      <c r="K349" s="8" t="str">
        <f>IFERROR(IFNA(vlookup(C349,merchants!$A$1:$D$41,3,FALSE),"Merchant not found"), "Merchant not found")</f>
        <v>grocery</v>
      </c>
      <c r="L349" s="8" t="str">
        <f>IFERROR(IFNA(vlookup(C349,merchants!$A$1:$D$41,4,FALSE),"Merchant not found"), "Merchant not found")</f>
        <v>North</v>
      </c>
      <c r="M349" s="8">
        <f>IFERROR(IFNA(hlookup(G349,payment_methods!$A$1:$E$2,2,FALSE),"Payment method not found"), "Payment method not found")</f>
        <v>0.0025</v>
      </c>
      <c r="N349" s="8">
        <f t="shared" si="2"/>
        <v>99</v>
      </c>
      <c r="O349" s="8" t="str">
        <f t="shared" si="3"/>
        <v>Normal</v>
      </c>
    </row>
    <row r="350" ht="15.75" customHeight="1">
      <c r="A350" s="3" t="s">
        <v>467</v>
      </c>
      <c r="B350" s="5">
        <v>241.0</v>
      </c>
      <c r="C350" s="5">
        <v>19.0</v>
      </c>
      <c r="D350" s="9">
        <v>46042.86319444444</v>
      </c>
      <c r="E350" s="10">
        <f t="shared" si="1"/>
        <v>46042</v>
      </c>
      <c r="F350" s="5">
        <v>299.0</v>
      </c>
      <c r="G350" s="3" t="s">
        <v>20</v>
      </c>
      <c r="H350" s="3" t="s">
        <v>48</v>
      </c>
      <c r="I350" s="5">
        <v>68.0</v>
      </c>
      <c r="J350" s="8" t="str">
        <f>IFERROR(IFNA(vlookup(C350,merchants!$A$1:$D$41,2,FALSE),"Merchant not found"), "Merchant not found")</f>
        <v>Merchant_019</v>
      </c>
      <c r="K350" s="8" t="str">
        <f>IFERROR(IFNA(vlookup(C350,merchants!$A$1:$D$41,3,FALSE),"Merchant not found"), "Merchant not found")</f>
        <v>grocery</v>
      </c>
      <c r="L350" s="8" t="str">
        <f>IFERROR(IFNA(vlookup(C350,merchants!$A$1:$D$41,4,FALSE),"Merchant not found"), "Merchant not found")</f>
        <v>North</v>
      </c>
      <c r="M350" s="8">
        <f>IFERROR(IFNA(hlookup(G350,payment_methods!$A$1:$E$2,2,FALSE),"Payment method not found"), "Payment method not found")</f>
        <v>0</v>
      </c>
      <c r="N350" s="8">
        <f t="shared" si="2"/>
        <v>348</v>
      </c>
      <c r="O350" s="8" t="str">
        <f t="shared" si="3"/>
        <v>Normal</v>
      </c>
    </row>
    <row r="351" ht="15.75" customHeight="1">
      <c r="A351" s="3" t="s">
        <v>468</v>
      </c>
      <c r="B351" s="5">
        <v>69.0</v>
      </c>
      <c r="C351" s="5">
        <v>17.0</v>
      </c>
      <c r="D351" s="9">
        <v>46023.14375</v>
      </c>
      <c r="E351" s="10">
        <f t="shared" si="1"/>
        <v>46023</v>
      </c>
      <c r="F351" s="5">
        <v>1499.0</v>
      </c>
      <c r="G351" s="3" t="s">
        <v>20</v>
      </c>
      <c r="H351" s="3" t="s">
        <v>48</v>
      </c>
      <c r="I351" s="5">
        <v>93.0</v>
      </c>
      <c r="J351" s="8" t="str">
        <f>IFERROR(IFNA(vlookup(C351,merchants!$A$1:$D$41,2,FALSE),"Merchant not found"), "Merchant not found")</f>
        <v>Merchant_017</v>
      </c>
      <c r="K351" s="8" t="str">
        <f>IFERROR(IFNA(vlookup(C351,merchants!$A$1:$D$41,3,FALSE),"Merchant not found"), "Merchant not found")</f>
        <v>grocery</v>
      </c>
      <c r="L351" s="8" t="str">
        <f>IFERROR(IFNA(vlookup(C351,merchants!$A$1:$D$41,4,FALSE),"Merchant not found"), "Merchant not found")</f>
        <v>North</v>
      </c>
      <c r="M351" s="8">
        <f>IFERROR(IFNA(hlookup(G351,payment_methods!$A$1:$E$2,2,FALSE),"Payment method not found"), "Payment method not found")</f>
        <v>0</v>
      </c>
      <c r="N351" s="8">
        <f t="shared" si="2"/>
        <v>1499</v>
      </c>
      <c r="O351" s="8" t="str">
        <f t="shared" si="3"/>
        <v>Normal</v>
      </c>
    </row>
    <row r="352" ht="15.75" customHeight="1">
      <c r="A352" s="3" t="s">
        <v>469</v>
      </c>
      <c r="B352" s="5">
        <v>24.0</v>
      </c>
      <c r="C352" s="5">
        <v>26.0</v>
      </c>
      <c r="D352" s="9">
        <v>46034.51597222222</v>
      </c>
      <c r="E352" s="10">
        <f t="shared" si="1"/>
        <v>46034</v>
      </c>
      <c r="F352" s="5">
        <v>299.0</v>
      </c>
      <c r="G352" s="3" t="s">
        <v>25</v>
      </c>
      <c r="H352" s="3" t="s">
        <v>48</v>
      </c>
      <c r="I352" s="5">
        <v>6.0</v>
      </c>
      <c r="J352" s="8" t="str">
        <f>IFERROR(IFNA(vlookup(C352,merchants!$A$1:$D$41,2,FALSE),"Merchant not found"), "Merchant not found")</f>
        <v>Merchant_026</v>
      </c>
      <c r="K352" s="8" t="str">
        <f>IFERROR(IFNA(vlookup(C352,merchants!$A$1:$D$41,3,FALSE),"Merchant not found"), "Merchant not found")</f>
        <v>food_delivery</v>
      </c>
      <c r="L352" s="8" t="str">
        <f>IFERROR(IFNA(vlookup(C352,merchants!$A$1:$D$41,4,FALSE),"Merchant not found"), "Merchant not found")</f>
        <v>East</v>
      </c>
      <c r="M352" s="8">
        <f>IFERROR(IFNA(hlookup(G352,payment_methods!$A$1:$E$2,2,FALSE),"Payment method not found"), "Payment method not found")</f>
        <v>0.005</v>
      </c>
      <c r="N352" s="8">
        <f t="shared" si="2"/>
        <v>299</v>
      </c>
      <c r="O352" s="8" t="str">
        <f t="shared" si="3"/>
        <v>Normal</v>
      </c>
    </row>
    <row r="353" ht="15.75" customHeight="1">
      <c r="A353" s="3" t="s">
        <v>470</v>
      </c>
      <c r="B353" s="5">
        <v>186.0</v>
      </c>
      <c r="C353" s="5">
        <v>36.0</v>
      </c>
      <c r="D353" s="9">
        <v>46041.71666666667</v>
      </c>
      <c r="E353" s="10">
        <f t="shared" si="1"/>
        <v>46041</v>
      </c>
      <c r="F353" s="5">
        <v>4999.0</v>
      </c>
      <c r="G353" s="3" t="s">
        <v>20</v>
      </c>
      <c r="H353" s="3" t="s">
        <v>48</v>
      </c>
      <c r="I353" s="5">
        <v>36.0</v>
      </c>
      <c r="J353" s="8" t="str">
        <f>IFERROR(IFNA(vlookup(C353,merchants!$A$1:$D$41,2,FALSE),"Merchant not found"), "Merchant not found")</f>
        <v>Merchant_036</v>
      </c>
      <c r="K353" s="8" t="str">
        <f>IFERROR(IFNA(vlookup(C353,merchants!$A$1:$D$41,3,FALSE),"Merchant not found"), "Merchant not found")</f>
        <v>entertainment</v>
      </c>
      <c r="L353" s="8" t="str">
        <f>IFERROR(IFNA(vlookup(C353,merchants!$A$1:$D$41,4,FALSE),"Merchant not found"), "Merchant not found")</f>
        <v>East</v>
      </c>
      <c r="M353" s="8">
        <f>IFERROR(IFNA(hlookup(G353,payment_methods!$A$1:$E$2,2,FALSE),"Payment method not found"), "Payment method not found")</f>
        <v>0</v>
      </c>
      <c r="N353" s="8">
        <f t="shared" si="2"/>
        <v>4999</v>
      </c>
      <c r="O353" s="8" t="str">
        <f t="shared" si="3"/>
        <v>Normal</v>
      </c>
    </row>
    <row r="354" ht="15.75" customHeight="1">
      <c r="A354" s="3" t="s">
        <v>471</v>
      </c>
      <c r="B354" s="5">
        <v>231.0</v>
      </c>
      <c r="C354" s="5">
        <v>36.0</v>
      </c>
      <c r="D354" s="9">
        <v>46025.52222222222</v>
      </c>
      <c r="E354" s="10">
        <f t="shared" si="1"/>
        <v>46025</v>
      </c>
      <c r="F354" s="5">
        <v>149.0</v>
      </c>
      <c r="G354" s="3" t="s">
        <v>20</v>
      </c>
      <c r="H354" s="3" t="s">
        <v>48</v>
      </c>
      <c r="I354" s="5">
        <v>35.0</v>
      </c>
      <c r="J354" s="8" t="str">
        <f>IFERROR(IFNA(vlookup(C354,merchants!$A$1:$D$41,2,FALSE),"Merchant not found"), "Merchant not found")</f>
        <v>Merchant_036</v>
      </c>
      <c r="K354" s="8" t="str">
        <f>IFERROR(IFNA(vlookup(C354,merchants!$A$1:$D$41,3,FALSE),"Merchant not found"), "Merchant not found")</f>
        <v>entertainment</v>
      </c>
      <c r="L354" s="8" t="str">
        <f>IFERROR(IFNA(vlookup(C354,merchants!$A$1:$D$41,4,FALSE),"Merchant not found"), "Merchant not found")</f>
        <v>East</v>
      </c>
      <c r="M354" s="8">
        <f>IFERROR(IFNA(hlookup(G354,payment_methods!$A$1:$E$2,2,FALSE),"Payment method not found"), "Payment method not found")</f>
        <v>0</v>
      </c>
      <c r="N354" s="8">
        <f t="shared" si="2"/>
        <v>248</v>
      </c>
      <c r="O354" s="8" t="str">
        <f t="shared" si="3"/>
        <v>Normal</v>
      </c>
    </row>
    <row r="355" ht="15.75" customHeight="1">
      <c r="A355" s="3" t="s">
        <v>472</v>
      </c>
      <c r="B355" s="5">
        <v>313.0</v>
      </c>
      <c r="C355" s="5">
        <v>8.0</v>
      </c>
      <c r="D355" s="9">
        <v>46049.82152777778</v>
      </c>
      <c r="E355" s="10">
        <f t="shared" si="1"/>
        <v>46049</v>
      </c>
      <c r="F355" s="5">
        <v>1499.0</v>
      </c>
      <c r="G355" s="3" t="s">
        <v>25</v>
      </c>
      <c r="H355" s="3" t="s">
        <v>48</v>
      </c>
      <c r="I355" s="5">
        <v>16.0</v>
      </c>
      <c r="J355" s="8" t="str">
        <f>IFERROR(IFNA(vlookup(C355,merchants!$A$1:$D$41,2,FALSE),"Merchant not found"), "Merchant not found")</f>
        <v>Merchant_008</v>
      </c>
      <c r="K355" s="8" t="str">
        <f>IFERROR(IFNA(vlookup(C355,merchants!$A$1:$D$41,3,FALSE),"Merchant not found"), "Merchant not found")</f>
        <v>food_delivery</v>
      </c>
      <c r="L355" s="8" t="str">
        <f>IFERROR(IFNA(vlookup(C355,merchants!$A$1:$D$41,4,FALSE),"Merchant not found"), "Merchant not found")</f>
        <v>North</v>
      </c>
      <c r="M355" s="8">
        <f>IFERROR(IFNA(hlookup(G355,payment_methods!$A$1:$E$2,2,FALSE),"Payment method not found"), "Payment method not found")</f>
        <v>0.005</v>
      </c>
      <c r="N355" s="8">
        <f t="shared" si="2"/>
        <v>1499</v>
      </c>
      <c r="O355" s="8" t="str">
        <f t="shared" si="3"/>
        <v>Normal</v>
      </c>
    </row>
    <row r="356" ht="15.75" customHeight="1">
      <c r="A356" s="3" t="s">
        <v>473</v>
      </c>
      <c r="B356" s="5">
        <v>174.0</v>
      </c>
      <c r="C356" s="5">
        <v>36.0</v>
      </c>
      <c r="D356" s="9">
        <v>46026.51597222222</v>
      </c>
      <c r="E356" s="10">
        <f t="shared" si="1"/>
        <v>46026</v>
      </c>
      <c r="F356" s="5">
        <v>149.0</v>
      </c>
      <c r="G356" s="3" t="s">
        <v>20</v>
      </c>
      <c r="H356" s="3" t="s">
        <v>48</v>
      </c>
      <c r="I356" s="5">
        <v>46.0</v>
      </c>
      <c r="J356" s="8" t="str">
        <f>IFERROR(IFNA(vlookup(C356,merchants!$A$1:$D$41,2,FALSE),"Merchant not found"), "Merchant not found")</f>
        <v>Merchant_036</v>
      </c>
      <c r="K356" s="8" t="str">
        <f>IFERROR(IFNA(vlookup(C356,merchants!$A$1:$D$41,3,FALSE),"Merchant not found"), "Merchant not found")</f>
        <v>entertainment</v>
      </c>
      <c r="L356" s="8" t="str">
        <f>IFERROR(IFNA(vlookup(C356,merchants!$A$1:$D$41,4,FALSE),"Merchant not found"), "Merchant not found")</f>
        <v>East</v>
      </c>
      <c r="M356" s="8">
        <f>IFERROR(IFNA(hlookup(G356,payment_methods!$A$1:$E$2,2,FALSE),"Payment method not found"), "Payment method not found")</f>
        <v>0</v>
      </c>
      <c r="N356" s="8">
        <f t="shared" si="2"/>
        <v>149</v>
      </c>
      <c r="O356" s="8" t="str">
        <f t="shared" si="3"/>
        <v>Normal</v>
      </c>
    </row>
    <row r="357" ht="15.75" customHeight="1">
      <c r="A357" s="3" t="s">
        <v>474</v>
      </c>
      <c r="B357" s="5">
        <v>309.0</v>
      </c>
      <c r="C357" s="5">
        <v>33.0</v>
      </c>
      <c r="D357" s="9">
        <v>46047.175</v>
      </c>
      <c r="E357" s="10">
        <f t="shared" si="1"/>
        <v>46047</v>
      </c>
      <c r="F357" s="5">
        <v>99.0</v>
      </c>
      <c r="G357" s="3" t="s">
        <v>20</v>
      </c>
      <c r="H357" s="3" t="s">
        <v>48</v>
      </c>
      <c r="I357" s="5">
        <v>51.0</v>
      </c>
      <c r="J357" s="8" t="str">
        <f>IFERROR(IFNA(vlookup(C357,merchants!$A$1:$D$41,2,FALSE),"Merchant not found"), "Merchant not found")</f>
        <v>Merchant_033</v>
      </c>
      <c r="K357" s="8" t="str">
        <f>IFERROR(IFNA(vlookup(C357,merchants!$A$1:$D$41,3,FALSE),"Merchant not found"), "Merchant not found")</f>
        <v>bill_payment</v>
      </c>
      <c r="L357" s="8" t="str">
        <f>IFERROR(IFNA(vlookup(C357,merchants!$A$1:$D$41,4,FALSE),"Merchant not found"), "Merchant not found")</f>
        <v>East</v>
      </c>
      <c r="M357" s="8">
        <f>IFERROR(IFNA(hlookup(G357,payment_methods!$A$1:$E$2,2,FALSE),"Payment method not found"), "Payment method not found")</f>
        <v>0</v>
      </c>
      <c r="N357" s="8">
        <f t="shared" si="2"/>
        <v>99</v>
      </c>
      <c r="O357" s="8" t="str">
        <f t="shared" si="3"/>
        <v>Normal</v>
      </c>
    </row>
    <row r="358" ht="15.75" customHeight="1">
      <c r="A358" s="3" t="s">
        <v>475</v>
      </c>
      <c r="B358" s="5">
        <v>20.0</v>
      </c>
      <c r="C358" s="5">
        <v>9.0</v>
      </c>
      <c r="D358" s="9">
        <v>46039.04305555556</v>
      </c>
      <c r="E358" s="10">
        <f t="shared" si="1"/>
        <v>46039</v>
      </c>
      <c r="F358" s="5">
        <v>99.0</v>
      </c>
      <c r="G358" s="3" t="s">
        <v>20</v>
      </c>
      <c r="H358" s="3" t="s">
        <v>48</v>
      </c>
      <c r="I358" s="5">
        <v>91.0</v>
      </c>
      <c r="J358" s="8" t="str">
        <f>IFERROR(IFNA(vlookup(C358,merchants!$A$1:$D$41,2,FALSE),"Merchant not found"), "Merchant not found")</f>
        <v>Merchant_009</v>
      </c>
      <c r="K358" s="8" t="str">
        <f>IFERROR(IFNA(vlookup(C358,merchants!$A$1:$D$41,3,FALSE),"Merchant not found"), "Merchant not found")</f>
        <v>ecommerce</v>
      </c>
      <c r="L358" s="8" t="str">
        <f>IFERROR(IFNA(vlookup(C358,merchants!$A$1:$D$41,4,FALSE),"Merchant not found"), "Merchant not found")</f>
        <v>North</v>
      </c>
      <c r="M358" s="8">
        <f>IFERROR(IFNA(hlookup(G358,payment_methods!$A$1:$E$2,2,FALSE),"Payment method not found"), "Payment method not found")</f>
        <v>0</v>
      </c>
      <c r="N358" s="8">
        <f t="shared" si="2"/>
        <v>248</v>
      </c>
      <c r="O358" s="8" t="str">
        <f t="shared" si="3"/>
        <v>Normal</v>
      </c>
    </row>
    <row r="359" ht="15.75" customHeight="1">
      <c r="A359" s="3" t="s">
        <v>476</v>
      </c>
      <c r="B359" s="5">
        <v>234.0</v>
      </c>
      <c r="C359" s="5">
        <v>10.0</v>
      </c>
      <c r="D359" s="9">
        <v>46033.64791666667</v>
      </c>
      <c r="E359" s="10">
        <f t="shared" si="1"/>
        <v>46033</v>
      </c>
      <c r="F359" s="5">
        <v>49.0</v>
      </c>
      <c r="G359" s="3" t="s">
        <v>20</v>
      </c>
      <c r="H359" s="3" t="s">
        <v>48</v>
      </c>
      <c r="I359" s="5">
        <v>77.0</v>
      </c>
      <c r="J359" s="8" t="str">
        <f>IFERROR(IFNA(vlookup(C359,merchants!$A$1:$D$41,2,FALSE),"Merchant not found"), "Merchant not found")</f>
        <v>Merchant_010</v>
      </c>
      <c r="K359" s="8" t="str">
        <f>IFERROR(IFNA(vlookup(C359,merchants!$A$1:$D$41,3,FALSE),"Merchant not found"), "Merchant not found")</f>
        <v>grocery</v>
      </c>
      <c r="L359" s="8" t="str">
        <f>IFERROR(IFNA(vlookup(C359,merchants!$A$1:$D$41,4,FALSE),"Merchant not found"), "Merchant not found")</f>
        <v>West</v>
      </c>
      <c r="M359" s="8">
        <f>IFERROR(IFNA(hlookup(G359,payment_methods!$A$1:$E$2,2,FALSE),"Payment method not found"), "Payment method not found")</f>
        <v>0</v>
      </c>
      <c r="N359" s="8">
        <f t="shared" si="2"/>
        <v>98</v>
      </c>
      <c r="O359" s="8" t="str">
        <f t="shared" si="3"/>
        <v>Normal</v>
      </c>
    </row>
    <row r="360" ht="15.75" customHeight="1">
      <c r="A360" s="3" t="s">
        <v>477</v>
      </c>
      <c r="B360" s="5">
        <v>168.0</v>
      </c>
      <c r="C360" s="5">
        <v>40.0</v>
      </c>
      <c r="D360" s="9">
        <v>46051.67222222222</v>
      </c>
      <c r="E360" s="10">
        <f t="shared" si="1"/>
        <v>46051</v>
      </c>
      <c r="F360" s="5">
        <v>149.0</v>
      </c>
      <c r="G360" s="3" t="s">
        <v>20</v>
      </c>
      <c r="H360" s="3" t="s">
        <v>81</v>
      </c>
      <c r="I360" s="5">
        <v>40.0</v>
      </c>
      <c r="J360" s="8" t="str">
        <f>IFERROR(IFNA(vlookup(C360,merchants!$A$1:$D$41,2,FALSE),"Merchant not found"), "Merchant not found")</f>
        <v>Merchant_040</v>
      </c>
      <c r="K360" s="8" t="str">
        <f>IFERROR(IFNA(vlookup(C360,merchants!$A$1:$D$41,3,FALSE),"Merchant not found"), "Merchant not found")</f>
        <v>entertainment</v>
      </c>
      <c r="L360" s="8" t="str">
        <f>IFERROR(IFNA(vlookup(C360,merchants!$A$1:$D$41,4,FALSE),"Merchant not found"), "Merchant not found")</f>
        <v>South</v>
      </c>
      <c r="M360" s="8">
        <f>IFERROR(IFNA(hlookup(G360,payment_methods!$A$1:$E$2,2,FALSE),"Payment method not found"), "Payment method not found")</f>
        <v>0</v>
      </c>
      <c r="N360" s="8">
        <f t="shared" si="2"/>
        <v>149</v>
      </c>
      <c r="O360" s="8" t="str">
        <f t="shared" si="3"/>
        <v>Normal</v>
      </c>
    </row>
    <row r="361" ht="15.75" customHeight="1">
      <c r="A361" s="3" t="s">
        <v>478</v>
      </c>
      <c r="B361" s="5">
        <v>154.0</v>
      </c>
      <c r="C361" s="5">
        <v>38.0</v>
      </c>
      <c r="D361" s="9">
        <v>46028.527083333334</v>
      </c>
      <c r="E361" s="10">
        <f t="shared" si="1"/>
        <v>46028</v>
      </c>
      <c r="F361" s="5">
        <v>99.0</v>
      </c>
      <c r="G361" s="3" t="s">
        <v>25</v>
      </c>
      <c r="H361" s="3" t="s">
        <v>48</v>
      </c>
      <c r="I361" s="5">
        <v>43.0</v>
      </c>
      <c r="J361" s="8" t="str">
        <f>IFERROR(IFNA(vlookup(C361,merchants!$A$1:$D$41,2,FALSE),"Merchant not found"), "Merchant not found")</f>
        <v>Merchant_038</v>
      </c>
      <c r="K361" s="8" t="str">
        <f>IFERROR(IFNA(vlookup(C361,merchants!$A$1:$D$41,3,FALSE),"Merchant not found"), "Merchant not found")</f>
        <v>grocery</v>
      </c>
      <c r="L361" s="8" t="str">
        <f>IFERROR(IFNA(vlookup(C361,merchants!$A$1:$D$41,4,FALSE),"Merchant not found"), "Merchant not found")</f>
        <v>East</v>
      </c>
      <c r="M361" s="8">
        <f>IFERROR(IFNA(hlookup(G361,payment_methods!$A$1:$E$2,2,FALSE),"Payment method not found"), "Payment method not found")</f>
        <v>0.005</v>
      </c>
      <c r="N361" s="8">
        <f t="shared" si="2"/>
        <v>99</v>
      </c>
      <c r="O361" s="8" t="str">
        <f t="shared" si="3"/>
        <v>Normal</v>
      </c>
    </row>
    <row r="362" ht="15.75" customHeight="1">
      <c r="A362" s="3" t="s">
        <v>479</v>
      </c>
      <c r="B362" s="5">
        <v>251.0</v>
      </c>
      <c r="C362" s="5">
        <v>37.0</v>
      </c>
      <c r="D362" s="9">
        <v>46039.69027777778</v>
      </c>
      <c r="E362" s="10">
        <f t="shared" si="1"/>
        <v>46039</v>
      </c>
      <c r="F362" s="5">
        <v>49.0</v>
      </c>
      <c r="G362" s="3" t="s">
        <v>20</v>
      </c>
      <c r="H362" s="3" t="s">
        <v>48</v>
      </c>
      <c r="I362" s="5">
        <v>38.0</v>
      </c>
      <c r="J362" s="8" t="str">
        <f>IFERROR(IFNA(vlookup(C362,merchants!$A$1:$D$41,2,FALSE),"Merchant not found"), "Merchant not found")</f>
        <v>Merchant_037</v>
      </c>
      <c r="K362" s="8" t="str">
        <f>IFERROR(IFNA(vlookup(C362,merchants!$A$1:$D$41,3,FALSE),"Merchant not found"), "Merchant not found")</f>
        <v>entertainment</v>
      </c>
      <c r="L362" s="8" t="str">
        <f>IFERROR(IFNA(vlookup(C362,merchants!$A$1:$D$41,4,FALSE),"Merchant not found"), "Merchant not found")</f>
        <v>South</v>
      </c>
      <c r="M362" s="8">
        <f>IFERROR(IFNA(hlookup(G362,payment_methods!$A$1:$E$2,2,FALSE),"Payment method not found"), "Payment method not found")</f>
        <v>0</v>
      </c>
      <c r="N362" s="8">
        <f t="shared" si="2"/>
        <v>49</v>
      </c>
      <c r="O362" s="8" t="str">
        <f t="shared" si="3"/>
        <v>Normal</v>
      </c>
    </row>
    <row r="363" ht="15.75" customHeight="1">
      <c r="A363" s="3" t="s">
        <v>480</v>
      </c>
      <c r="B363" s="5">
        <v>170.0</v>
      </c>
      <c r="C363" s="5">
        <v>8.0</v>
      </c>
      <c r="D363" s="9">
        <v>46038.01597222222</v>
      </c>
      <c r="E363" s="10">
        <f t="shared" si="1"/>
        <v>46038</v>
      </c>
      <c r="F363" s="5">
        <v>2999.0</v>
      </c>
      <c r="G363" s="3" t="s">
        <v>20</v>
      </c>
      <c r="H363" s="3" t="s">
        <v>48</v>
      </c>
      <c r="I363" s="5">
        <v>53.0</v>
      </c>
      <c r="J363" s="8" t="str">
        <f>IFERROR(IFNA(vlookup(C363,merchants!$A$1:$D$41,2,FALSE),"Merchant not found"), "Merchant not found")</f>
        <v>Merchant_008</v>
      </c>
      <c r="K363" s="8" t="str">
        <f>IFERROR(IFNA(vlookup(C363,merchants!$A$1:$D$41,3,FALSE),"Merchant not found"), "Merchant not found")</f>
        <v>food_delivery</v>
      </c>
      <c r="L363" s="8" t="str">
        <f>IFERROR(IFNA(vlookup(C363,merchants!$A$1:$D$41,4,FALSE),"Merchant not found"), "Merchant not found")</f>
        <v>North</v>
      </c>
      <c r="M363" s="8">
        <f>IFERROR(IFNA(hlookup(G363,payment_methods!$A$1:$E$2,2,FALSE),"Payment method not found"), "Payment method not found")</f>
        <v>0</v>
      </c>
      <c r="N363" s="8">
        <f t="shared" si="2"/>
        <v>2999</v>
      </c>
      <c r="O363" s="8" t="str">
        <f t="shared" si="3"/>
        <v>Normal</v>
      </c>
    </row>
    <row r="364" ht="15.75" customHeight="1">
      <c r="A364" s="3" t="s">
        <v>481</v>
      </c>
      <c r="B364" s="5">
        <v>323.0</v>
      </c>
      <c r="C364" s="5">
        <v>2.0</v>
      </c>
      <c r="D364" s="9">
        <v>46041.40972222222</v>
      </c>
      <c r="E364" s="10">
        <f t="shared" si="1"/>
        <v>46041</v>
      </c>
      <c r="F364" s="5">
        <v>49.0</v>
      </c>
      <c r="G364" s="3" t="s">
        <v>25</v>
      </c>
      <c r="H364" s="3" t="s">
        <v>48</v>
      </c>
      <c r="I364" s="5">
        <v>76.0</v>
      </c>
      <c r="J364" s="8" t="str">
        <f>IFERROR(IFNA(vlookup(C364,merchants!$A$1:$D$41,2,FALSE),"Merchant not found"), "Merchant not found")</f>
        <v>Merchant_002</v>
      </c>
      <c r="K364" s="8" t="str">
        <f>IFERROR(IFNA(vlookup(C364,merchants!$A$1:$D$41,3,FALSE),"Merchant not found"), "Merchant not found")</f>
        <v>grocery</v>
      </c>
      <c r="L364" s="8" t="str">
        <f>IFERROR(IFNA(vlookup(C364,merchants!$A$1:$D$41,4,FALSE),"Merchant not found"), "Merchant not found")</f>
        <v>West</v>
      </c>
      <c r="M364" s="8">
        <f>IFERROR(IFNA(hlookup(G364,payment_methods!$A$1:$E$2,2,FALSE),"Payment method not found"), "Payment method not found")</f>
        <v>0.005</v>
      </c>
      <c r="N364" s="8">
        <f t="shared" si="2"/>
        <v>49</v>
      </c>
      <c r="O364" s="8" t="str">
        <f t="shared" si="3"/>
        <v>Normal</v>
      </c>
    </row>
    <row r="365" ht="15.75" customHeight="1">
      <c r="A365" s="3" t="s">
        <v>482</v>
      </c>
      <c r="B365" s="5">
        <v>297.0</v>
      </c>
      <c r="C365" s="5">
        <v>37.0</v>
      </c>
      <c r="D365" s="9">
        <v>46038.361805555556</v>
      </c>
      <c r="E365" s="10">
        <f t="shared" si="1"/>
        <v>46038</v>
      </c>
      <c r="F365" s="5">
        <v>2999.0</v>
      </c>
      <c r="G365" s="3" t="s">
        <v>15</v>
      </c>
      <c r="H365" s="3" t="s">
        <v>48</v>
      </c>
      <c r="I365" s="5">
        <v>29.0</v>
      </c>
      <c r="J365" s="8" t="str">
        <f>IFERROR(IFNA(vlookup(C365,merchants!$A$1:$D$41,2,FALSE),"Merchant not found"), "Merchant not found")</f>
        <v>Merchant_037</v>
      </c>
      <c r="K365" s="8" t="str">
        <f>IFERROR(IFNA(vlookup(C365,merchants!$A$1:$D$41,3,FALSE),"Merchant not found"), "Merchant not found")</f>
        <v>entertainment</v>
      </c>
      <c r="L365" s="8" t="str">
        <f>IFERROR(IFNA(vlookup(C365,merchants!$A$1:$D$41,4,FALSE),"Merchant not found"), "Merchant not found")</f>
        <v>South</v>
      </c>
      <c r="M365" s="8">
        <f>IFERROR(IFNA(hlookup(G365,payment_methods!$A$1:$E$2,2,FALSE),"Payment method not found"), "Payment method not found")</f>
        <v>0.0025</v>
      </c>
      <c r="N365" s="8">
        <f t="shared" si="2"/>
        <v>2999</v>
      </c>
      <c r="O365" s="8" t="str">
        <f t="shared" si="3"/>
        <v>Normal</v>
      </c>
    </row>
    <row r="366" ht="15.75" customHeight="1">
      <c r="A366" s="3" t="s">
        <v>483</v>
      </c>
      <c r="B366" s="5">
        <v>246.0</v>
      </c>
      <c r="C366" s="5">
        <v>11.0</v>
      </c>
      <c r="D366" s="9">
        <v>46046.06736111111</v>
      </c>
      <c r="E366" s="10">
        <f t="shared" si="1"/>
        <v>46046</v>
      </c>
      <c r="F366" s="5">
        <v>299.0</v>
      </c>
      <c r="G366" s="3" t="s">
        <v>20</v>
      </c>
      <c r="H366" s="3" t="s">
        <v>48</v>
      </c>
      <c r="I366" s="5">
        <v>67.0</v>
      </c>
      <c r="J366" s="8" t="str">
        <f>IFERROR(IFNA(vlookup(C366,merchants!$A$1:$D$41,2,FALSE),"Merchant not found"), "Merchant not found")</f>
        <v>Merchant_011</v>
      </c>
      <c r="K366" s="8" t="str">
        <f>IFERROR(IFNA(vlookup(C366,merchants!$A$1:$D$41,3,FALSE),"Merchant not found"), "Merchant not found")</f>
        <v>ecommerce</v>
      </c>
      <c r="L366" s="8" t="str">
        <f>IFERROR(IFNA(vlookup(C366,merchants!$A$1:$D$41,4,FALSE),"Merchant not found"), "Merchant not found")</f>
        <v>North</v>
      </c>
      <c r="M366" s="8">
        <f>IFERROR(IFNA(hlookup(G366,payment_methods!$A$1:$E$2,2,FALSE),"Payment method not found"), "Payment method not found")</f>
        <v>0</v>
      </c>
      <c r="N366" s="8">
        <f t="shared" si="2"/>
        <v>1798</v>
      </c>
      <c r="O366" s="8" t="str">
        <f t="shared" si="3"/>
        <v>Normal</v>
      </c>
    </row>
    <row r="367" ht="15.75" customHeight="1">
      <c r="A367" s="3" t="s">
        <v>484</v>
      </c>
      <c r="B367" s="5">
        <v>195.0</v>
      </c>
      <c r="C367" s="5">
        <v>10.0</v>
      </c>
      <c r="D367" s="9">
        <v>46043.98541666667</v>
      </c>
      <c r="E367" s="10">
        <f t="shared" si="1"/>
        <v>46043</v>
      </c>
      <c r="F367" s="5">
        <v>99.0</v>
      </c>
      <c r="G367" s="3" t="s">
        <v>20</v>
      </c>
      <c r="H367" s="3" t="s">
        <v>48</v>
      </c>
      <c r="I367" s="5">
        <v>87.0</v>
      </c>
      <c r="J367" s="8" t="str">
        <f>IFERROR(IFNA(vlookup(C367,merchants!$A$1:$D$41,2,FALSE),"Merchant not found"), "Merchant not found")</f>
        <v>Merchant_010</v>
      </c>
      <c r="K367" s="8" t="str">
        <f>IFERROR(IFNA(vlookup(C367,merchants!$A$1:$D$41,3,FALSE),"Merchant not found"), "Merchant not found")</f>
        <v>grocery</v>
      </c>
      <c r="L367" s="8" t="str">
        <f>IFERROR(IFNA(vlookup(C367,merchants!$A$1:$D$41,4,FALSE),"Merchant not found"), "Merchant not found")</f>
        <v>West</v>
      </c>
      <c r="M367" s="8">
        <f>IFERROR(IFNA(hlookup(G367,payment_methods!$A$1:$E$2,2,FALSE),"Payment method not found"), "Payment method not found")</f>
        <v>0</v>
      </c>
      <c r="N367" s="8">
        <f t="shared" si="2"/>
        <v>398</v>
      </c>
      <c r="O367" s="8" t="str">
        <f t="shared" si="3"/>
        <v>Normal</v>
      </c>
    </row>
    <row r="368" ht="15.75" customHeight="1">
      <c r="A368" s="3" t="s">
        <v>485</v>
      </c>
      <c r="B368" s="5">
        <v>57.0</v>
      </c>
      <c r="C368" s="5">
        <v>13.0</v>
      </c>
      <c r="D368" s="9">
        <v>46030.066666666666</v>
      </c>
      <c r="E368" s="10">
        <f t="shared" si="1"/>
        <v>46030</v>
      </c>
      <c r="F368" s="5">
        <v>149.0</v>
      </c>
      <c r="G368" s="3" t="s">
        <v>20</v>
      </c>
      <c r="H368" s="3" t="s">
        <v>48</v>
      </c>
      <c r="I368" s="5">
        <v>2.0</v>
      </c>
      <c r="J368" s="8" t="str">
        <f>IFERROR(IFNA(vlookup(C368,merchants!$A$1:$D$41,2,FALSE),"Merchant not found"), "Merchant not found")</f>
        <v>Merchant_013</v>
      </c>
      <c r="K368" s="8" t="str">
        <f>IFERROR(IFNA(vlookup(C368,merchants!$A$1:$D$41,3,FALSE),"Merchant not found"), "Merchant not found")</f>
        <v>travel</v>
      </c>
      <c r="L368" s="8" t="str">
        <f>IFERROR(IFNA(vlookup(C368,merchants!$A$1:$D$41,4,FALSE),"Merchant not found"), "Merchant not found")</f>
        <v>East</v>
      </c>
      <c r="M368" s="8">
        <f>IFERROR(IFNA(hlookup(G368,payment_methods!$A$1:$E$2,2,FALSE),"Payment method not found"), "Payment method not found")</f>
        <v>0</v>
      </c>
      <c r="N368" s="8">
        <f t="shared" si="2"/>
        <v>149</v>
      </c>
      <c r="O368" s="8" t="str">
        <f t="shared" si="3"/>
        <v>Normal</v>
      </c>
    </row>
    <row r="369" ht="15.75" customHeight="1">
      <c r="A369" s="3" t="s">
        <v>486</v>
      </c>
      <c r="B369" s="5">
        <v>78.0</v>
      </c>
      <c r="C369" s="5">
        <v>27.0</v>
      </c>
      <c r="D369" s="9">
        <v>46037.43472222222</v>
      </c>
      <c r="E369" s="10">
        <f t="shared" si="1"/>
        <v>46037</v>
      </c>
      <c r="F369" s="5">
        <v>1499.0</v>
      </c>
      <c r="G369" s="3" t="s">
        <v>25</v>
      </c>
      <c r="H369" s="3" t="s">
        <v>78</v>
      </c>
      <c r="I369" s="5">
        <v>88.0</v>
      </c>
      <c r="J369" s="8" t="str">
        <f>IFERROR(IFNA(vlookup(C369,merchants!$A$1:$D$41,2,FALSE),"Merchant not found"), "Merchant not found")</f>
        <v>Merchant_027</v>
      </c>
      <c r="K369" s="8" t="str">
        <f>IFERROR(IFNA(vlookup(C369,merchants!$A$1:$D$41,3,FALSE),"Merchant not found"), "Merchant not found")</f>
        <v>ecommerce</v>
      </c>
      <c r="L369" s="8" t="str">
        <f>IFERROR(IFNA(vlookup(C369,merchants!$A$1:$D$41,4,FALSE),"Merchant not found"), "Merchant not found")</f>
        <v>North</v>
      </c>
      <c r="M369" s="8">
        <f>IFERROR(IFNA(hlookup(G369,payment_methods!$A$1:$E$2,2,FALSE),"Payment method not found"), "Payment method not found")</f>
        <v>0.005</v>
      </c>
      <c r="N369" s="8">
        <f t="shared" si="2"/>
        <v>1499</v>
      </c>
      <c r="O369" s="8" t="str">
        <f t="shared" si="3"/>
        <v>Normal</v>
      </c>
    </row>
    <row r="370" ht="15.75" customHeight="1">
      <c r="A370" s="3" t="s">
        <v>487</v>
      </c>
      <c r="B370" s="5">
        <v>314.0</v>
      </c>
      <c r="C370" s="5">
        <v>31.0</v>
      </c>
      <c r="D370" s="9">
        <v>46029.563888888886</v>
      </c>
      <c r="E370" s="10">
        <f t="shared" si="1"/>
        <v>46029</v>
      </c>
      <c r="F370" s="5">
        <v>49.0</v>
      </c>
      <c r="G370" s="3" t="s">
        <v>20</v>
      </c>
      <c r="H370" s="3" t="s">
        <v>81</v>
      </c>
      <c r="I370" s="5">
        <v>94.0</v>
      </c>
      <c r="J370" s="8" t="str">
        <f>IFERROR(IFNA(vlookup(C370,merchants!$A$1:$D$41,2,FALSE),"Merchant not found"), "Merchant not found")</f>
        <v>Merchant_031</v>
      </c>
      <c r="K370" s="8" t="str">
        <f>IFERROR(IFNA(vlookup(C370,merchants!$A$1:$D$41,3,FALSE),"Merchant not found"), "Merchant not found")</f>
        <v>bill_payment</v>
      </c>
      <c r="L370" s="8" t="str">
        <f>IFERROR(IFNA(vlookup(C370,merchants!$A$1:$D$41,4,FALSE),"Merchant not found"), "Merchant not found")</f>
        <v>East</v>
      </c>
      <c r="M370" s="8">
        <f>IFERROR(IFNA(hlookup(G370,payment_methods!$A$1:$E$2,2,FALSE),"Payment method not found"), "Payment method not found")</f>
        <v>0</v>
      </c>
      <c r="N370" s="8">
        <f t="shared" si="2"/>
        <v>49</v>
      </c>
      <c r="O370" s="8" t="str">
        <f t="shared" si="3"/>
        <v>Normal</v>
      </c>
    </row>
    <row r="371" ht="15.75" customHeight="1">
      <c r="A371" s="3" t="s">
        <v>488</v>
      </c>
      <c r="B371" s="5">
        <v>71.0</v>
      </c>
      <c r="C371" s="5">
        <v>34.0</v>
      </c>
      <c r="D371" s="9">
        <v>46046.072916666664</v>
      </c>
      <c r="E371" s="10">
        <f t="shared" si="1"/>
        <v>46046</v>
      </c>
      <c r="F371" s="5">
        <v>499.0</v>
      </c>
      <c r="G371" s="3" t="s">
        <v>20</v>
      </c>
      <c r="H371" s="3" t="s">
        <v>48</v>
      </c>
      <c r="I371" s="5">
        <v>26.0</v>
      </c>
      <c r="J371" s="8" t="str">
        <f>IFERROR(IFNA(vlookup(C371,merchants!$A$1:$D$41,2,FALSE),"Merchant not found"), "Merchant not found")</f>
        <v>Merchant_034</v>
      </c>
      <c r="K371" s="8" t="str">
        <f>IFERROR(IFNA(vlookup(C371,merchants!$A$1:$D$41,3,FALSE),"Merchant not found"), "Merchant not found")</f>
        <v>travel</v>
      </c>
      <c r="L371" s="8" t="str">
        <f>IFERROR(IFNA(vlookup(C371,merchants!$A$1:$D$41,4,FALSE),"Merchant not found"), "Merchant not found")</f>
        <v>South</v>
      </c>
      <c r="M371" s="8">
        <f>IFERROR(IFNA(hlookup(G371,payment_methods!$A$1:$E$2,2,FALSE),"Payment method not found"), "Payment method not found")</f>
        <v>0</v>
      </c>
      <c r="N371" s="8">
        <f t="shared" si="2"/>
        <v>548</v>
      </c>
      <c r="O371" s="8" t="str">
        <f t="shared" si="3"/>
        <v>Normal</v>
      </c>
    </row>
    <row r="372" ht="15.75" customHeight="1">
      <c r="A372" s="3" t="s">
        <v>489</v>
      </c>
      <c r="B372" s="5">
        <v>245.0</v>
      </c>
      <c r="C372" s="5">
        <v>34.0</v>
      </c>
      <c r="D372" s="9">
        <v>46040.44583333333</v>
      </c>
      <c r="E372" s="10">
        <f t="shared" si="1"/>
        <v>46040</v>
      </c>
      <c r="F372" s="5">
        <v>99.0</v>
      </c>
      <c r="G372" s="3" t="s">
        <v>20</v>
      </c>
      <c r="H372" s="3" t="s">
        <v>48</v>
      </c>
      <c r="I372" s="5">
        <v>48.0</v>
      </c>
      <c r="J372" s="8" t="str">
        <f>IFERROR(IFNA(vlookup(C372,merchants!$A$1:$D$41,2,FALSE),"Merchant not found"), "Merchant not found")</f>
        <v>Merchant_034</v>
      </c>
      <c r="K372" s="8" t="str">
        <f>IFERROR(IFNA(vlookup(C372,merchants!$A$1:$D$41,3,FALSE),"Merchant not found"), "Merchant not found")</f>
        <v>travel</v>
      </c>
      <c r="L372" s="8" t="str">
        <f>IFERROR(IFNA(vlookup(C372,merchants!$A$1:$D$41,4,FALSE),"Merchant not found"), "Merchant not found")</f>
        <v>South</v>
      </c>
      <c r="M372" s="8">
        <f>IFERROR(IFNA(hlookup(G372,payment_methods!$A$1:$E$2,2,FALSE),"Payment method not found"), "Payment method not found")</f>
        <v>0</v>
      </c>
      <c r="N372" s="8">
        <f t="shared" si="2"/>
        <v>148</v>
      </c>
      <c r="O372" s="8" t="str">
        <f t="shared" si="3"/>
        <v>Normal</v>
      </c>
    </row>
    <row r="373" ht="15.75" customHeight="1">
      <c r="A373" s="3" t="s">
        <v>490</v>
      </c>
      <c r="B373" s="5">
        <v>273.0</v>
      </c>
      <c r="C373" s="5">
        <v>22.0</v>
      </c>
      <c r="D373" s="9">
        <v>46033.228472222225</v>
      </c>
      <c r="E373" s="10">
        <f t="shared" si="1"/>
        <v>46033</v>
      </c>
      <c r="F373" s="5">
        <v>299.0</v>
      </c>
      <c r="G373" s="3" t="s">
        <v>15</v>
      </c>
      <c r="H373" s="3" t="s">
        <v>48</v>
      </c>
      <c r="I373" s="5">
        <v>69.0</v>
      </c>
      <c r="J373" s="8" t="str">
        <f>IFERROR(IFNA(vlookup(C373,merchants!$A$1:$D$41,2,FALSE),"Merchant not found"), "Merchant not found")</f>
        <v>Merchant_022</v>
      </c>
      <c r="K373" s="8" t="str">
        <f>IFERROR(IFNA(vlookup(C373,merchants!$A$1:$D$41,3,FALSE),"Merchant not found"), "Merchant not found")</f>
        <v>travel</v>
      </c>
      <c r="L373" s="8" t="str">
        <f>IFERROR(IFNA(vlookup(C373,merchants!$A$1:$D$41,4,FALSE),"Merchant not found"), "Merchant not found")</f>
        <v>South</v>
      </c>
      <c r="M373" s="8">
        <f>IFERROR(IFNA(hlookup(G373,payment_methods!$A$1:$E$2,2,FALSE),"Payment method not found"), "Payment method not found")</f>
        <v>0.0025</v>
      </c>
      <c r="N373" s="8">
        <f t="shared" si="2"/>
        <v>299</v>
      </c>
      <c r="O373" s="8" t="str">
        <f t="shared" si="3"/>
        <v>Normal</v>
      </c>
    </row>
    <row r="374" ht="15.75" customHeight="1">
      <c r="A374" s="3" t="s">
        <v>491</v>
      </c>
      <c r="B374" s="5">
        <v>349.0</v>
      </c>
      <c r="C374" s="5">
        <v>17.0</v>
      </c>
      <c r="D374" s="9">
        <v>46034.90902777778</v>
      </c>
      <c r="E374" s="10">
        <f t="shared" si="1"/>
        <v>46034</v>
      </c>
      <c r="F374" s="5">
        <v>1499.0</v>
      </c>
      <c r="G374" s="3" t="s">
        <v>20</v>
      </c>
      <c r="H374" s="3" t="s">
        <v>48</v>
      </c>
      <c r="I374" s="5">
        <v>78.0</v>
      </c>
      <c r="J374" s="8" t="str">
        <f>IFERROR(IFNA(vlookup(C374,merchants!$A$1:$D$41,2,FALSE),"Merchant not found"), "Merchant not found")</f>
        <v>Merchant_017</v>
      </c>
      <c r="K374" s="8" t="str">
        <f>IFERROR(IFNA(vlookup(C374,merchants!$A$1:$D$41,3,FALSE),"Merchant not found"), "Merchant not found")</f>
        <v>grocery</v>
      </c>
      <c r="L374" s="8" t="str">
        <f>IFERROR(IFNA(vlookup(C374,merchants!$A$1:$D$41,4,FALSE),"Merchant not found"), "Merchant not found")</f>
        <v>North</v>
      </c>
      <c r="M374" s="8">
        <f>IFERROR(IFNA(hlookup(G374,payment_methods!$A$1:$E$2,2,FALSE),"Payment method not found"), "Payment method not found")</f>
        <v>0</v>
      </c>
      <c r="N374" s="8">
        <f t="shared" si="2"/>
        <v>1499</v>
      </c>
      <c r="O374" s="8" t="str">
        <f t="shared" si="3"/>
        <v>Normal</v>
      </c>
    </row>
    <row r="375" ht="15.75" customHeight="1">
      <c r="A375" s="3" t="s">
        <v>492</v>
      </c>
      <c r="B375" s="5">
        <v>143.0</v>
      </c>
      <c r="C375" s="5">
        <v>36.0</v>
      </c>
      <c r="D375" s="9">
        <v>46038.260416666664</v>
      </c>
      <c r="E375" s="10">
        <f t="shared" si="1"/>
        <v>46038</v>
      </c>
      <c r="F375" s="5">
        <v>1499.0</v>
      </c>
      <c r="G375" s="3" t="s">
        <v>25</v>
      </c>
      <c r="H375" s="3" t="s">
        <v>48</v>
      </c>
      <c r="I375" s="5">
        <v>38.0</v>
      </c>
      <c r="J375" s="8" t="str">
        <f>IFERROR(IFNA(vlookup(C375,merchants!$A$1:$D$41,2,FALSE),"Merchant not found"), "Merchant not found")</f>
        <v>Merchant_036</v>
      </c>
      <c r="K375" s="8" t="str">
        <f>IFERROR(IFNA(vlookup(C375,merchants!$A$1:$D$41,3,FALSE),"Merchant not found"), "Merchant not found")</f>
        <v>entertainment</v>
      </c>
      <c r="L375" s="8" t="str">
        <f>IFERROR(IFNA(vlookup(C375,merchants!$A$1:$D$41,4,FALSE),"Merchant not found"), "Merchant not found")</f>
        <v>East</v>
      </c>
      <c r="M375" s="8">
        <f>IFERROR(IFNA(hlookup(G375,payment_methods!$A$1:$E$2,2,FALSE),"Payment method not found"), "Payment method not found")</f>
        <v>0.005</v>
      </c>
      <c r="N375" s="8">
        <f t="shared" si="2"/>
        <v>1499</v>
      </c>
      <c r="O375" s="8" t="str">
        <f t="shared" si="3"/>
        <v>Normal</v>
      </c>
    </row>
    <row r="376" ht="15.75" customHeight="1">
      <c r="A376" s="3" t="s">
        <v>493</v>
      </c>
      <c r="B376" s="5">
        <v>148.0</v>
      </c>
      <c r="C376" s="5">
        <v>14.0</v>
      </c>
      <c r="D376" s="9">
        <v>46030.40902777778</v>
      </c>
      <c r="E376" s="10">
        <f t="shared" si="1"/>
        <v>46030</v>
      </c>
      <c r="F376" s="5">
        <v>799.0</v>
      </c>
      <c r="G376" s="3" t="s">
        <v>15</v>
      </c>
      <c r="H376" s="3" t="s">
        <v>48</v>
      </c>
      <c r="I376" s="5">
        <v>88.0</v>
      </c>
      <c r="J376" s="8" t="str">
        <f>IFERROR(IFNA(vlookup(C376,merchants!$A$1:$D$41,2,FALSE),"Merchant not found"), "Merchant not found")</f>
        <v>Merchant_014</v>
      </c>
      <c r="K376" s="8" t="str">
        <f>IFERROR(IFNA(vlookup(C376,merchants!$A$1:$D$41,3,FALSE),"Merchant not found"), "Merchant not found")</f>
        <v>grocery</v>
      </c>
      <c r="L376" s="8" t="str">
        <f>IFERROR(IFNA(vlookup(C376,merchants!$A$1:$D$41,4,FALSE),"Merchant not found"), "Merchant not found")</f>
        <v>East</v>
      </c>
      <c r="M376" s="8">
        <f>IFERROR(IFNA(hlookup(G376,payment_methods!$A$1:$E$2,2,FALSE),"Payment method not found"), "Payment method not found")</f>
        <v>0.0025</v>
      </c>
      <c r="N376" s="8">
        <f t="shared" si="2"/>
        <v>799</v>
      </c>
      <c r="O376" s="8" t="str">
        <f t="shared" si="3"/>
        <v>Normal</v>
      </c>
    </row>
    <row r="377" ht="15.75" customHeight="1">
      <c r="A377" s="3" t="s">
        <v>494</v>
      </c>
      <c r="B377" s="5">
        <v>246.0</v>
      </c>
      <c r="C377" s="5">
        <v>23.0</v>
      </c>
      <c r="D377" s="9">
        <v>46045.63888888889</v>
      </c>
      <c r="E377" s="10">
        <f t="shared" si="1"/>
        <v>46045</v>
      </c>
      <c r="F377" s="5">
        <v>49.0</v>
      </c>
      <c r="G377" s="3" t="s">
        <v>20</v>
      </c>
      <c r="H377" s="3" t="s">
        <v>48</v>
      </c>
      <c r="I377" s="5">
        <v>71.0</v>
      </c>
      <c r="J377" s="8" t="str">
        <f>IFERROR(IFNA(vlookup(C377,merchants!$A$1:$D$41,2,FALSE),"Merchant not found"), "Merchant not found")</f>
        <v>Merchant_023</v>
      </c>
      <c r="K377" s="8" t="str">
        <f>IFERROR(IFNA(vlookup(C377,merchants!$A$1:$D$41,3,FALSE),"Merchant not found"), "Merchant not found")</f>
        <v>travel</v>
      </c>
      <c r="L377" s="8" t="str">
        <f>IFERROR(IFNA(vlookup(C377,merchants!$A$1:$D$41,4,FALSE),"Merchant not found"), "Merchant not found")</f>
        <v>North</v>
      </c>
      <c r="M377" s="8">
        <f>IFERROR(IFNA(hlookup(G377,payment_methods!$A$1:$E$2,2,FALSE),"Payment method not found"), "Payment method not found")</f>
        <v>0</v>
      </c>
      <c r="N377" s="8">
        <f t="shared" si="2"/>
        <v>247</v>
      </c>
      <c r="O377" s="8" t="str">
        <f t="shared" si="3"/>
        <v>Normal</v>
      </c>
    </row>
    <row r="378" ht="15.75" customHeight="1">
      <c r="A378" s="3" t="s">
        <v>495</v>
      </c>
      <c r="B378" s="5">
        <v>148.0</v>
      </c>
      <c r="C378" s="5">
        <v>8.0</v>
      </c>
      <c r="D378" s="9">
        <v>46052.970138888886</v>
      </c>
      <c r="E378" s="10">
        <f t="shared" si="1"/>
        <v>46052</v>
      </c>
      <c r="F378" s="5">
        <v>99.0</v>
      </c>
      <c r="G378" s="3" t="s">
        <v>15</v>
      </c>
      <c r="H378" s="3" t="s">
        <v>48</v>
      </c>
      <c r="I378" s="5">
        <v>73.0</v>
      </c>
      <c r="J378" s="8" t="str">
        <f>IFERROR(IFNA(vlookup(C378,merchants!$A$1:$D$41,2,FALSE),"Merchant not found"), "Merchant not found")</f>
        <v>Merchant_008</v>
      </c>
      <c r="K378" s="8" t="str">
        <f>IFERROR(IFNA(vlookup(C378,merchants!$A$1:$D$41,3,FALSE),"Merchant not found"), "Merchant not found")</f>
        <v>food_delivery</v>
      </c>
      <c r="L378" s="8" t="str">
        <f>IFERROR(IFNA(vlookup(C378,merchants!$A$1:$D$41,4,FALSE),"Merchant not found"), "Merchant not found")</f>
        <v>North</v>
      </c>
      <c r="M378" s="8">
        <f>IFERROR(IFNA(hlookup(G378,payment_methods!$A$1:$E$2,2,FALSE),"Payment method not found"), "Payment method not found")</f>
        <v>0.0025</v>
      </c>
      <c r="N378" s="8">
        <f t="shared" si="2"/>
        <v>99</v>
      </c>
      <c r="O378" s="8" t="str">
        <f t="shared" si="3"/>
        <v>Normal</v>
      </c>
    </row>
    <row r="379" ht="15.75" customHeight="1">
      <c r="A379" s="3" t="s">
        <v>496</v>
      </c>
      <c r="B379" s="5">
        <v>203.0</v>
      </c>
      <c r="C379" s="5">
        <v>23.0</v>
      </c>
      <c r="D379" s="9">
        <v>46044.725</v>
      </c>
      <c r="E379" s="10">
        <f t="shared" si="1"/>
        <v>46044</v>
      </c>
      <c r="F379" s="5">
        <v>49.0</v>
      </c>
      <c r="G379" s="3" t="s">
        <v>20</v>
      </c>
      <c r="H379" s="3" t="s">
        <v>48</v>
      </c>
      <c r="I379" s="5">
        <v>98.0</v>
      </c>
      <c r="J379" s="8" t="str">
        <f>IFERROR(IFNA(vlookup(C379,merchants!$A$1:$D$41,2,FALSE),"Merchant not found"), "Merchant not found")</f>
        <v>Merchant_023</v>
      </c>
      <c r="K379" s="8" t="str">
        <f>IFERROR(IFNA(vlookup(C379,merchants!$A$1:$D$41,3,FALSE),"Merchant not found"), "Merchant not found")</f>
        <v>travel</v>
      </c>
      <c r="L379" s="8" t="str">
        <f>IFERROR(IFNA(vlookup(C379,merchants!$A$1:$D$41,4,FALSE),"Merchant not found"), "Merchant not found")</f>
        <v>North</v>
      </c>
      <c r="M379" s="8">
        <f>IFERROR(IFNA(hlookup(G379,payment_methods!$A$1:$E$2,2,FALSE),"Payment method not found"), "Payment method not found")</f>
        <v>0</v>
      </c>
      <c r="N379" s="8">
        <f t="shared" si="2"/>
        <v>49</v>
      </c>
      <c r="O379" s="8" t="str">
        <f t="shared" si="3"/>
        <v>Normal</v>
      </c>
    </row>
    <row r="380" ht="15.75" customHeight="1">
      <c r="A380" s="3" t="s">
        <v>497</v>
      </c>
      <c r="B380" s="5">
        <v>22.0</v>
      </c>
      <c r="C380" s="5">
        <v>19.0</v>
      </c>
      <c r="D380" s="9">
        <v>46048.17916666667</v>
      </c>
      <c r="E380" s="10">
        <f t="shared" si="1"/>
        <v>46048</v>
      </c>
      <c r="F380" s="5">
        <v>49.0</v>
      </c>
      <c r="G380" s="3" t="s">
        <v>22</v>
      </c>
      <c r="H380" s="3" t="s">
        <v>48</v>
      </c>
      <c r="I380" s="5">
        <v>91.0</v>
      </c>
      <c r="J380" s="8" t="str">
        <f>IFERROR(IFNA(vlookup(C380,merchants!$A$1:$D$41,2,FALSE),"Merchant not found"), "Merchant not found")</f>
        <v>Merchant_019</v>
      </c>
      <c r="K380" s="8" t="str">
        <f>IFERROR(IFNA(vlookup(C380,merchants!$A$1:$D$41,3,FALSE),"Merchant not found"), "Merchant not found")</f>
        <v>grocery</v>
      </c>
      <c r="L380" s="8" t="str">
        <f>IFERROR(IFNA(vlookup(C380,merchants!$A$1:$D$41,4,FALSE),"Merchant not found"), "Merchant not found")</f>
        <v>North</v>
      </c>
      <c r="M380" s="8">
        <f>IFERROR(IFNA(hlookup(G380,payment_methods!$A$1:$E$2,2,FALSE),"Payment method not found"), "Payment method not found")</f>
        <v>0.01</v>
      </c>
      <c r="N380" s="8">
        <f t="shared" si="2"/>
        <v>49</v>
      </c>
      <c r="O380" s="8" t="str">
        <f t="shared" si="3"/>
        <v>Normal</v>
      </c>
    </row>
    <row r="381" ht="15.75" customHeight="1">
      <c r="A381" s="3" t="s">
        <v>498</v>
      </c>
      <c r="B381" s="5">
        <v>227.0</v>
      </c>
      <c r="C381" s="5">
        <v>17.0</v>
      </c>
      <c r="D381" s="9">
        <v>46025.49930555555</v>
      </c>
      <c r="E381" s="10">
        <f t="shared" si="1"/>
        <v>46025</v>
      </c>
      <c r="F381" s="5">
        <v>299.0</v>
      </c>
      <c r="G381" s="3" t="s">
        <v>15</v>
      </c>
      <c r="H381" s="3" t="s">
        <v>48</v>
      </c>
      <c r="I381" s="5">
        <v>95.0</v>
      </c>
      <c r="J381" s="8" t="str">
        <f>IFERROR(IFNA(vlookup(C381,merchants!$A$1:$D$41,2,FALSE),"Merchant not found"), "Merchant not found")</f>
        <v>Merchant_017</v>
      </c>
      <c r="K381" s="8" t="str">
        <f>IFERROR(IFNA(vlookup(C381,merchants!$A$1:$D$41,3,FALSE),"Merchant not found"), "Merchant not found")</f>
        <v>grocery</v>
      </c>
      <c r="L381" s="8" t="str">
        <f>IFERROR(IFNA(vlookup(C381,merchants!$A$1:$D$41,4,FALSE),"Merchant not found"), "Merchant not found")</f>
        <v>North</v>
      </c>
      <c r="M381" s="8">
        <f>IFERROR(IFNA(hlookup(G381,payment_methods!$A$1:$E$2,2,FALSE),"Payment method not found"), "Payment method not found")</f>
        <v>0.0025</v>
      </c>
      <c r="N381" s="8">
        <f t="shared" si="2"/>
        <v>398</v>
      </c>
      <c r="O381" s="8" t="str">
        <f t="shared" si="3"/>
        <v>Normal</v>
      </c>
    </row>
    <row r="382" ht="15.75" customHeight="1">
      <c r="A382" s="3" t="s">
        <v>499</v>
      </c>
      <c r="B382" s="5">
        <v>276.0</v>
      </c>
      <c r="C382" s="5">
        <v>18.0</v>
      </c>
      <c r="D382" s="9">
        <v>46038.25833333333</v>
      </c>
      <c r="E382" s="10">
        <f t="shared" si="1"/>
        <v>46038</v>
      </c>
      <c r="F382" s="5">
        <v>149.0</v>
      </c>
      <c r="G382" s="3" t="s">
        <v>15</v>
      </c>
      <c r="H382" s="3" t="s">
        <v>48</v>
      </c>
      <c r="I382" s="5">
        <v>71.0</v>
      </c>
      <c r="J382" s="8" t="str">
        <f>IFERROR(IFNA(vlookup(C382,merchants!$A$1:$D$41,2,FALSE),"Merchant not found"), "Merchant not found")</f>
        <v>Merchant_018</v>
      </c>
      <c r="K382" s="8" t="str">
        <f>IFERROR(IFNA(vlookup(C382,merchants!$A$1:$D$41,3,FALSE),"Merchant not found"), "Merchant not found")</f>
        <v>grocery</v>
      </c>
      <c r="L382" s="8" t="str">
        <f>IFERROR(IFNA(vlookup(C382,merchants!$A$1:$D$41,4,FALSE),"Merchant not found"), "Merchant not found")</f>
        <v>West</v>
      </c>
      <c r="M382" s="8">
        <f>IFERROR(IFNA(hlookup(G382,payment_methods!$A$1:$E$2,2,FALSE),"Payment method not found"), "Payment method not found")</f>
        <v>0.0025</v>
      </c>
      <c r="N382" s="8">
        <f t="shared" si="2"/>
        <v>3148</v>
      </c>
      <c r="O382" s="8" t="str">
        <f t="shared" si="3"/>
        <v>Normal</v>
      </c>
    </row>
    <row r="383" ht="15.75" customHeight="1">
      <c r="A383" s="3" t="s">
        <v>500</v>
      </c>
      <c r="B383" s="5">
        <v>56.0</v>
      </c>
      <c r="C383" s="5">
        <v>40.0</v>
      </c>
      <c r="D383" s="9">
        <v>46045.33888888889</v>
      </c>
      <c r="E383" s="10">
        <f t="shared" si="1"/>
        <v>46045</v>
      </c>
      <c r="F383" s="5">
        <v>99.0</v>
      </c>
      <c r="G383" s="3" t="s">
        <v>22</v>
      </c>
      <c r="H383" s="3" t="s">
        <v>48</v>
      </c>
      <c r="I383" s="5">
        <v>94.0</v>
      </c>
      <c r="J383" s="8" t="str">
        <f>IFERROR(IFNA(vlookup(C383,merchants!$A$1:$D$41,2,FALSE),"Merchant not found"), "Merchant not found")</f>
        <v>Merchant_040</v>
      </c>
      <c r="K383" s="8" t="str">
        <f>IFERROR(IFNA(vlookup(C383,merchants!$A$1:$D$41,3,FALSE),"Merchant not found"), "Merchant not found")</f>
        <v>entertainment</v>
      </c>
      <c r="L383" s="8" t="str">
        <f>IFERROR(IFNA(vlookup(C383,merchants!$A$1:$D$41,4,FALSE),"Merchant not found"), "Merchant not found")</f>
        <v>South</v>
      </c>
      <c r="M383" s="8">
        <f>IFERROR(IFNA(hlookup(G383,payment_methods!$A$1:$E$2,2,FALSE),"Payment method not found"), "Payment method not found")</f>
        <v>0.01</v>
      </c>
      <c r="N383" s="8">
        <f t="shared" si="2"/>
        <v>598</v>
      </c>
      <c r="O383" s="8" t="str">
        <f t="shared" si="3"/>
        <v>Normal</v>
      </c>
    </row>
    <row r="384" ht="15.75" customHeight="1">
      <c r="A384" s="3" t="s">
        <v>501</v>
      </c>
      <c r="B384" s="5">
        <v>26.0</v>
      </c>
      <c r="C384" s="5">
        <v>34.0</v>
      </c>
      <c r="D384" s="9">
        <v>46041.302083333336</v>
      </c>
      <c r="E384" s="10">
        <f t="shared" si="1"/>
        <v>46041</v>
      </c>
      <c r="F384" s="5">
        <v>499.0</v>
      </c>
      <c r="G384" s="3" t="s">
        <v>22</v>
      </c>
      <c r="H384" s="3" t="s">
        <v>48</v>
      </c>
      <c r="I384" s="5">
        <v>28.0</v>
      </c>
      <c r="J384" s="8" t="str">
        <f>IFERROR(IFNA(vlookup(C384,merchants!$A$1:$D$41,2,FALSE),"Merchant not found"), "Merchant not found")</f>
        <v>Merchant_034</v>
      </c>
      <c r="K384" s="8" t="str">
        <f>IFERROR(IFNA(vlookup(C384,merchants!$A$1:$D$41,3,FALSE),"Merchant not found"), "Merchant not found")</f>
        <v>travel</v>
      </c>
      <c r="L384" s="8" t="str">
        <f>IFERROR(IFNA(vlookup(C384,merchants!$A$1:$D$41,4,FALSE),"Merchant not found"), "Merchant not found")</f>
        <v>South</v>
      </c>
      <c r="M384" s="8">
        <f>IFERROR(IFNA(hlookup(G384,payment_methods!$A$1:$E$2,2,FALSE),"Payment method not found"), "Payment method not found")</f>
        <v>0.01</v>
      </c>
      <c r="N384" s="8">
        <f t="shared" si="2"/>
        <v>499</v>
      </c>
      <c r="O384" s="8" t="str">
        <f t="shared" si="3"/>
        <v>Normal</v>
      </c>
    </row>
    <row r="385" ht="15.75" customHeight="1">
      <c r="A385" s="3" t="s">
        <v>502</v>
      </c>
      <c r="B385" s="5">
        <v>52.0</v>
      </c>
      <c r="C385" s="5">
        <v>27.0</v>
      </c>
      <c r="D385" s="9">
        <v>46043.29375</v>
      </c>
      <c r="E385" s="10">
        <f t="shared" si="1"/>
        <v>46043</v>
      </c>
      <c r="F385" s="5">
        <v>499.0</v>
      </c>
      <c r="G385" s="3" t="s">
        <v>22</v>
      </c>
      <c r="H385" s="3" t="s">
        <v>48</v>
      </c>
      <c r="I385" s="5">
        <v>42.0</v>
      </c>
      <c r="J385" s="8" t="str">
        <f>IFERROR(IFNA(vlookup(C385,merchants!$A$1:$D$41,2,FALSE),"Merchant not found"), "Merchant not found")</f>
        <v>Merchant_027</v>
      </c>
      <c r="K385" s="8" t="str">
        <f>IFERROR(IFNA(vlookup(C385,merchants!$A$1:$D$41,3,FALSE),"Merchant not found"), "Merchant not found")</f>
        <v>ecommerce</v>
      </c>
      <c r="L385" s="8" t="str">
        <f>IFERROR(IFNA(vlookup(C385,merchants!$A$1:$D$41,4,FALSE),"Merchant not found"), "Merchant not found")</f>
        <v>North</v>
      </c>
      <c r="M385" s="8">
        <f>IFERROR(IFNA(hlookup(G385,payment_methods!$A$1:$E$2,2,FALSE),"Payment method not found"), "Payment method not found")</f>
        <v>0.01</v>
      </c>
      <c r="N385" s="8">
        <f t="shared" si="2"/>
        <v>499</v>
      </c>
      <c r="O385" s="8" t="str">
        <f t="shared" si="3"/>
        <v>Normal</v>
      </c>
    </row>
    <row r="386" ht="15.75" customHeight="1">
      <c r="A386" s="3" t="s">
        <v>503</v>
      </c>
      <c r="B386" s="5">
        <v>349.0</v>
      </c>
      <c r="C386" s="5">
        <v>9.0</v>
      </c>
      <c r="D386" s="9">
        <v>46045.629166666666</v>
      </c>
      <c r="E386" s="10">
        <f t="shared" si="1"/>
        <v>46045</v>
      </c>
      <c r="F386" s="5">
        <v>499.0</v>
      </c>
      <c r="G386" s="3" t="s">
        <v>15</v>
      </c>
      <c r="H386" s="3" t="s">
        <v>48</v>
      </c>
      <c r="I386" s="5">
        <v>0.0</v>
      </c>
      <c r="J386" s="8" t="str">
        <f>IFERROR(IFNA(vlookup(C386,merchants!$A$1:$D$41,2,FALSE),"Merchant not found"), "Merchant not found")</f>
        <v>Merchant_009</v>
      </c>
      <c r="K386" s="8" t="str">
        <f>IFERROR(IFNA(vlookup(C386,merchants!$A$1:$D$41,3,FALSE),"Merchant not found"), "Merchant not found")</f>
        <v>ecommerce</v>
      </c>
      <c r="L386" s="8" t="str">
        <f>IFERROR(IFNA(vlookup(C386,merchants!$A$1:$D$41,4,FALSE),"Merchant not found"), "Merchant not found")</f>
        <v>North</v>
      </c>
      <c r="M386" s="8">
        <f>IFERROR(IFNA(hlookup(G386,payment_methods!$A$1:$E$2,2,FALSE),"Payment method not found"), "Payment method not found")</f>
        <v>0.0025</v>
      </c>
      <c r="N386" s="8">
        <f t="shared" si="2"/>
        <v>898</v>
      </c>
      <c r="O386" s="8" t="str">
        <f t="shared" si="3"/>
        <v>Normal</v>
      </c>
    </row>
    <row r="387" ht="15.75" customHeight="1">
      <c r="A387" s="3" t="s">
        <v>504</v>
      </c>
      <c r="B387" s="5">
        <v>335.0</v>
      </c>
      <c r="C387" s="5">
        <v>31.0</v>
      </c>
      <c r="D387" s="9">
        <v>46040.22638888889</v>
      </c>
      <c r="E387" s="10">
        <f t="shared" si="1"/>
        <v>46040</v>
      </c>
      <c r="F387" s="5">
        <v>49.0</v>
      </c>
      <c r="G387" s="3" t="s">
        <v>22</v>
      </c>
      <c r="H387" s="3" t="s">
        <v>48</v>
      </c>
      <c r="I387" s="5">
        <v>61.0</v>
      </c>
      <c r="J387" s="8" t="str">
        <f>IFERROR(IFNA(vlookup(C387,merchants!$A$1:$D$41,2,FALSE),"Merchant not found"), "Merchant not found")</f>
        <v>Merchant_031</v>
      </c>
      <c r="K387" s="8" t="str">
        <f>IFERROR(IFNA(vlookup(C387,merchants!$A$1:$D$41,3,FALSE),"Merchant not found"), "Merchant not found")</f>
        <v>bill_payment</v>
      </c>
      <c r="L387" s="8" t="str">
        <f>IFERROR(IFNA(vlookup(C387,merchants!$A$1:$D$41,4,FALSE),"Merchant not found"), "Merchant not found")</f>
        <v>East</v>
      </c>
      <c r="M387" s="8">
        <f>IFERROR(IFNA(hlookup(G387,payment_methods!$A$1:$E$2,2,FALSE),"Payment method not found"), "Payment method not found")</f>
        <v>0.01</v>
      </c>
      <c r="N387" s="8">
        <f t="shared" si="2"/>
        <v>49</v>
      </c>
      <c r="O387" s="8" t="str">
        <f t="shared" si="3"/>
        <v>Normal</v>
      </c>
    </row>
    <row r="388" ht="15.75" customHeight="1">
      <c r="A388" s="3" t="s">
        <v>505</v>
      </c>
      <c r="B388" s="5">
        <v>148.0</v>
      </c>
      <c r="C388" s="5">
        <v>21.0</v>
      </c>
      <c r="D388" s="9">
        <v>46043.28333333333</v>
      </c>
      <c r="E388" s="10">
        <f t="shared" si="1"/>
        <v>46043</v>
      </c>
      <c r="F388" s="5">
        <v>49.0</v>
      </c>
      <c r="G388" s="3" t="s">
        <v>22</v>
      </c>
      <c r="H388" s="3" t="s">
        <v>48</v>
      </c>
      <c r="I388" s="5">
        <v>36.0</v>
      </c>
      <c r="J388" s="8" t="str">
        <f>IFERROR(IFNA(vlookup(C388,merchants!$A$1:$D$41,2,FALSE),"Merchant not found"), "Merchant not found")</f>
        <v>Merchant_021</v>
      </c>
      <c r="K388" s="8" t="str">
        <f>IFERROR(IFNA(vlookup(C388,merchants!$A$1:$D$41,3,FALSE),"Merchant not found"), "Merchant not found")</f>
        <v>food_delivery</v>
      </c>
      <c r="L388" s="8" t="str">
        <f>IFERROR(IFNA(vlookup(C388,merchants!$A$1:$D$41,4,FALSE),"Merchant not found"), "Merchant not found")</f>
        <v>East</v>
      </c>
      <c r="M388" s="8">
        <f>IFERROR(IFNA(hlookup(G388,payment_methods!$A$1:$E$2,2,FALSE),"Payment method not found"), "Payment method not found")</f>
        <v>0.01</v>
      </c>
      <c r="N388" s="8">
        <f t="shared" si="2"/>
        <v>49</v>
      </c>
      <c r="O388" s="8" t="str">
        <f t="shared" si="3"/>
        <v>Normal</v>
      </c>
    </row>
    <row r="389" ht="15.75" customHeight="1">
      <c r="A389" s="3" t="s">
        <v>506</v>
      </c>
      <c r="B389" s="5">
        <v>46.0</v>
      </c>
      <c r="C389" s="5">
        <v>37.0</v>
      </c>
      <c r="D389" s="9">
        <v>46043.08194444444</v>
      </c>
      <c r="E389" s="10">
        <f t="shared" si="1"/>
        <v>46043</v>
      </c>
      <c r="F389" s="5">
        <v>99.0</v>
      </c>
      <c r="G389" s="3" t="s">
        <v>15</v>
      </c>
      <c r="H389" s="3" t="s">
        <v>48</v>
      </c>
      <c r="I389" s="5">
        <v>29.0</v>
      </c>
      <c r="J389" s="8" t="str">
        <f>IFERROR(IFNA(vlookup(C389,merchants!$A$1:$D$41,2,FALSE),"Merchant not found"), "Merchant not found")</f>
        <v>Merchant_037</v>
      </c>
      <c r="K389" s="8" t="str">
        <f>IFERROR(IFNA(vlookup(C389,merchants!$A$1:$D$41,3,FALSE),"Merchant not found"), "Merchant not found")</f>
        <v>entertainment</v>
      </c>
      <c r="L389" s="8" t="str">
        <f>IFERROR(IFNA(vlookup(C389,merchants!$A$1:$D$41,4,FALSE),"Merchant not found"), "Merchant not found")</f>
        <v>South</v>
      </c>
      <c r="M389" s="8">
        <f>IFERROR(IFNA(hlookup(G389,payment_methods!$A$1:$E$2,2,FALSE),"Payment method not found"), "Payment method not found")</f>
        <v>0.0025</v>
      </c>
      <c r="N389" s="8">
        <f t="shared" si="2"/>
        <v>99</v>
      </c>
      <c r="O389" s="8" t="str">
        <f t="shared" si="3"/>
        <v>Normal</v>
      </c>
    </row>
    <row r="390" ht="15.75" customHeight="1">
      <c r="A390" s="3" t="s">
        <v>507</v>
      </c>
      <c r="B390" s="5">
        <v>20.0</v>
      </c>
      <c r="C390" s="5">
        <v>12.0</v>
      </c>
      <c r="D390" s="9">
        <v>46040.990277777775</v>
      </c>
      <c r="E390" s="10">
        <f t="shared" si="1"/>
        <v>46040</v>
      </c>
      <c r="F390" s="5">
        <v>799.0</v>
      </c>
      <c r="G390" s="3" t="s">
        <v>22</v>
      </c>
      <c r="H390" s="3" t="s">
        <v>48</v>
      </c>
      <c r="I390" s="5">
        <v>53.0</v>
      </c>
      <c r="J390" s="8" t="str">
        <f>IFERROR(IFNA(vlookup(C390,merchants!$A$1:$D$41,2,FALSE),"Merchant not found"), "Merchant not found")</f>
        <v>Merchant_012</v>
      </c>
      <c r="K390" s="8" t="str">
        <f>IFERROR(IFNA(vlookup(C390,merchants!$A$1:$D$41,3,FALSE),"Merchant not found"), "Merchant not found")</f>
        <v>ecommerce</v>
      </c>
      <c r="L390" s="8" t="str">
        <f>IFERROR(IFNA(vlookup(C390,merchants!$A$1:$D$41,4,FALSE),"Merchant not found"), "Merchant not found")</f>
        <v>East</v>
      </c>
      <c r="M390" s="8">
        <f>IFERROR(IFNA(hlookup(G390,payment_methods!$A$1:$E$2,2,FALSE),"Payment method not found"), "Payment method not found")</f>
        <v>0.01</v>
      </c>
      <c r="N390" s="8">
        <f t="shared" si="2"/>
        <v>799</v>
      </c>
      <c r="O390" s="8" t="str">
        <f t="shared" si="3"/>
        <v>Normal</v>
      </c>
    </row>
    <row r="391" ht="15.75" customHeight="1">
      <c r="A391" s="3" t="s">
        <v>508</v>
      </c>
      <c r="B391" s="5">
        <v>19.0</v>
      </c>
      <c r="C391" s="5">
        <v>26.0</v>
      </c>
      <c r="D391" s="9">
        <v>46051.24930555555</v>
      </c>
      <c r="E391" s="10">
        <f t="shared" si="1"/>
        <v>46051</v>
      </c>
      <c r="F391" s="5">
        <v>49.0</v>
      </c>
      <c r="G391" s="3" t="s">
        <v>20</v>
      </c>
      <c r="H391" s="3" t="s">
        <v>48</v>
      </c>
      <c r="I391" s="5">
        <v>100.0</v>
      </c>
      <c r="J391" s="8" t="str">
        <f>IFERROR(IFNA(vlookup(C391,merchants!$A$1:$D$41,2,FALSE),"Merchant not found"), "Merchant not found")</f>
        <v>Merchant_026</v>
      </c>
      <c r="K391" s="8" t="str">
        <f>IFERROR(IFNA(vlookup(C391,merchants!$A$1:$D$41,3,FALSE),"Merchant not found"), "Merchant not found")</f>
        <v>food_delivery</v>
      </c>
      <c r="L391" s="8" t="str">
        <f>IFERROR(IFNA(vlookup(C391,merchants!$A$1:$D$41,4,FALSE),"Merchant not found"), "Merchant not found")</f>
        <v>East</v>
      </c>
      <c r="M391" s="8">
        <f>IFERROR(IFNA(hlookup(G391,payment_methods!$A$1:$E$2,2,FALSE),"Payment method not found"), "Payment method not found")</f>
        <v>0</v>
      </c>
      <c r="N391" s="8">
        <f t="shared" si="2"/>
        <v>148</v>
      </c>
      <c r="O391" s="8" t="str">
        <f t="shared" si="3"/>
        <v>Normal</v>
      </c>
    </row>
    <row r="392" ht="15.75" customHeight="1">
      <c r="A392" s="3" t="s">
        <v>509</v>
      </c>
      <c r="B392" s="5">
        <v>149.0</v>
      </c>
      <c r="C392" s="5">
        <v>3.0</v>
      </c>
      <c r="D392" s="9">
        <v>46038.24930555555</v>
      </c>
      <c r="E392" s="10">
        <f t="shared" si="1"/>
        <v>46038</v>
      </c>
      <c r="F392" s="5">
        <v>4999.0</v>
      </c>
      <c r="G392" s="3" t="s">
        <v>15</v>
      </c>
      <c r="H392" s="3" t="s">
        <v>48</v>
      </c>
      <c r="I392" s="5">
        <v>1.0</v>
      </c>
      <c r="J392" s="8" t="str">
        <f>IFERROR(IFNA(vlookup(C392,merchants!$A$1:$D$41,2,FALSE),"Merchant not found"), "Merchant not found")</f>
        <v>Merchant_003</v>
      </c>
      <c r="K392" s="8" t="str">
        <f>IFERROR(IFNA(vlookup(C392,merchants!$A$1:$D$41,3,FALSE),"Merchant not found"), "Merchant not found")</f>
        <v>grocery</v>
      </c>
      <c r="L392" s="8" t="str">
        <f>IFERROR(IFNA(vlookup(C392,merchants!$A$1:$D$41,4,FALSE),"Merchant not found"), "Merchant not found")</f>
        <v>East</v>
      </c>
      <c r="M392" s="8">
        <f>IFERROR(IFNA(hlookup(G392,payment_methods!$A$1:$E$2,2,FALSE),"Payment method not found"), "Payment method not found")</f>
        <v>0.0025</v>
      </c>
      <c r="N392" s="8">
        <f t="shared" si="2"/>
        <v>4999</v>
      </c>
      <c r="O392" s="8" t="str">
        <f t="shared" si="3"/>
        <v>Normal</v>
      </c>
    </row>
    <row r="393" ht="15.75" customHeight="1">
      <c r="A393" s="3" t="s">
        <v>510</v>
      </c>
      <c r="B393" s="5">
        <v>55.0</v>
      </c>
      <c r="C393" s="5">
        <v>22.0</v>
      </c>
      <c r="D393" s="9">
        <v>46032.77638888889</v>
      </c>
      <c r="E393" s="10">
        <f t="shared" si="1"/>
        <v>46032</v>
      </c>
      <c r="F393" s="5">
        <v>499.0</v>
      </c>
      <c r="G393" s="3" t="s">
        <v>20</v>
      </c>
      <c r="H393" s="3" t="s">
        <v>48</v>
      </c>
      <c r="I393" s="5">
        <v>36.0</v>
      </c>
      <c r="J393" s="8" t="str">
        <f>IFERROR(IFNA(vlookup(C393,merchants!$A$1:$D$41,2,FALSE),"Merchant not found"), "Merchant not found")</f>
        <v>Merchant_022</v>
      </c>
      <c r="K393" s="8" t="str">
        <f>IFERROR(IFNA(vlookup(C393,merchants!$A$1:$D$41,3,FALSE),"Merchant not found"), "Merchant not found")</f>
        <v>travel</v>
      </c>
      <c r="L393" s="8" t="str">
        <f>IFERROR(IFNA(vlookup(C393,merchants!$A$1:$D$41,4,FALSE),"Merchant not found"), "Merchant not found")</f>
        <v>South</v>
      </c>
      <c r="M393" s="8">
        <f>IFERROR(IFNA(hlookup(G393,payment_methods!$A$1:$E$2,2,FALSE),"Payment method not found"), "Payment method not found")</f>
        <v>0</v>
      </c>
      <c r="N393" s="8">
        <f t="shared" si="2"/>
        <v>499</v>
      </c>
      <c r="O393" s="8" t="str">
        <f t="shared" si="3"/>
        <v>Normal</v>
      </c>
    </row>
    <row r="394" ht="15.75" customHeight="1">
      <c r="A394" s="3" t="s">
        <v>511</v>
      </c>
      <c r="B394" s="5">
        <v>269.0</v>
      </c>
      <c r="C394" s="5">
        <v>32.0</v>
      </c>
      <c r="D394" s="9">
        <v>46037.856944444444</v>
      </c>
      <c r="E394" s="10">
        <f t="shared" si="1"/>
        <v>46037</v>
      </c>
      <c r="F394" s="5">
        <v>49.0</v>
      </c>
      <c r="G394" s="3" t="s">
        <v>22</v>
      </c>
      <c r="H394" s="3" t="s">
        <v>48</v>
      </c>
      <c r="I394" s="5">
        <v>17.0</v>
      </c>
      <c r="J394" s="8" t="str">
        <f>IFERROR(IFNA(vlookup(C394,merchants!$A$1:$D$41,2,FALSE),"Merchant not found"), "Merchant not found")</f>
        <v>Merchant_032</v>
      </c>
      <c r="K394" s="8" t="str">
        <f>IFERROR(IFNA(vlookup(C394,merchants!$A$1:$D$41,3,FALSE),"Merchant not found"), "Merchant not found")</f>
        <v>food_delivery</v>
      </c>
      <c r="L394" s="8" t="str">
        <f>IFERROR(IFNA(vlookup(C394,merchants!$A$1:$D$41,4,FALSE),"Merchant not found"), "Merchant not found")</f>
        <v>West</v>
      </c>
      <c r="M394" s="8">
        <f>IFERROR(IFNA(hlookup(G394,payment_methods!$A$1:$E$2,2,FALSE),"Payment method not found"), "Payment method not found")</f>
        <v>0.01</v>
      </c>
      <c r="N394" s="8">
        <f t="shared" si="2"/>
        <v>148</v>
      </c>
      <c r="O394" s="8" t="str">
        <f t="shared" si="3"/>
        <v>Normal</v>
      </c>
    </row>
    <row r="395" ht="15.75" customHeight="1">
      <c r="A395" s="3" t="s">
        <v>512</v>
      </c>
      <c r="B395" s="5">
        <v>140.0</v>
      </c>
      <c r="C395" s="5">
        <v>13.0</v>
      </c>
      <c r="D395" s="9">
        <v>46050.68680555555</v>
      </c>
      <c r="E395" s="10">
        <f t="shared" si="1"/>
        <v>46050</v>
      </c>
      <c r="F395" s="5">
        <v>2999.0</v>
      </c>
      <c r="G395" s="3" t="s">
        <v>20</v>
      </c>
      <c r="H395" s="3" t="s">
        <v>48</v>
      </c>
      <c r="I395" s="5">
        <v>14.0</v>
      </c>
      <c r="J395" s="8" t="str">
        <f>IFERROR(IFNA(vlookup(C395,merchants!$A$1:$D$41,2,FALSE),"Merchant not found"), "Merchant not found")</f>
        <v>Merchant_013</v>
      </c>
      <c r="K395" s="8" t="str">
        <f>IFERROR(IFNA(vlookup(C395,merchants!$A$1:$D$41,3,FALSE),"Merchant not found"), "Merchant not found")</f>
        <v>travel</v>
      </c>
      <c r="L395" s="8" t="str">
        <f>IFERROR(IFNA(vlookup(C395,merchants!$A$1:$D$41,4,FALSE),"Merchant not found"), "Merchant not found")</f>
        <v>East</v>
      </c>
      <c r="M395" s="8">
        <f>IFERROR(IFNA(hlookup(G395,payment_methods!$A$1:$E$2,2,FALSE),"Payment method not found"), "Payment method not found")</f>
        <v>0</v>
      </c>
      <c r="N395" s="8">
        <f t="shared" si="2"/>
        <v>2999</v>
      </c>
      <c r="O395" s="8" t="str">
        <f t="shared" si="3"/>
        <v>Normal</v>
      </c>
    </row>
    <row r="396" ht="15.75" customHeight="1">
      <c r="A396" s="3" t="s">
        <v>513</v>
      </c>
      <c r="B396" s="5">
        <v>235.0</v>
      </c>
      <c r="C396" s="5">
        <v>17.0</v>
      </c>
      <c r="D396" s="9">
        <v>46033.240277777775</v>
      </c>
      <c r="E396" s="10">
        <f t="shared" si="1"/>
        <v>46033</v>
      </c>
      <c r="F396" s="5">
        <v>2999.0</v>
      </c>
      <c r="G396" s="3" t="s">
        <v>20</v>
      </c>
      <c r="H396" s="3" t="s">
        <v>48</v>
      </c>
      <c r="I396" s="5">
        <v>91.0</v>
      </c>
      <c r="J396" s="8" t="str">
        <f>IFERROR(IFNA(vlookup(C396,merchants!$A$1:$D$41,2,FALSE),"Merchant not found"), "Merchant not found")</f>
        <v>Merchant_017</v>
      </c>
      <c r="K396" s="8" t="str">
        <f>IFERROR(IFNA(vlookup(C396,merchants!$A$1:$D$41,3,FALSE),"Merchant not found"), "Merchant not found")</f>
        <v>grocery</v>
      </c>
      <c r="L396" s="8" t="str">
        <f>IFERROR(IFNA(vlookup(C396,merchants!$A$1:$D$41,4,FALSE),"Merchant not found"), "Merchant not found")</f>
        <v>North</v>
      </c>
      <c r="M396" s="8">
        <f>IFERROR(IFNA(hlookup(G396,payment_methods!$A$1:$E$2,2,FALSE),"Payment method not found"), "Payment method not found")</f>
        <v>0</v>
      </c>
      <c r="N396" s="8">
        <f t="shared" si="2"/>
        <v>7998</v>
      </c>
      <c r="O396" s="8" t="str">
        <f t="shared" si="3"/>
        <v>High-Value Merchant Day</v>
      </c>
    </row>
    <row r="397" ht="15.75" customHeight="1">
      <c r="A397" s="3" t="s">
        <v>514</v>
      </c>
      <c r="B397" s="5">
        <v>173.0</v>
      </c>
      <c r="C397" s="5">
        <v>19.0</v>
      </c>
      <c r="D397" s="9">
        <v>46028.032638888886</v>
      </c>
      <c r="E397" s="10">
        <f t="shared" si="1"/>
        <v>46028</v>
      </c>
      <c r="F397" s="5">
        <v>499.0</v>
      </c>
      <c r="G397" s="3" t="s">
        <v>20</v>
      </c>
      <c r="H397" s="3" t="s">
        <v>78</v>
      </c>
      <c r="I397" s="5">
        <v>72.0</v>
      </c>
      <c r="J397" s="8" t="str">
        <f>IFERROR(IFNA(vlookup(C397,merchants!$A$1:$D$41,2,FALSE),"Merchant not found"), "Merchant not found")</f>
        <v>Merchant_019</v>
      </c>
      <c r="K397" s="8" t="str">
        <f>IFERROR(IFNA(vlookup(C397,merchants!$A$1:$D$41,3,FALSE),"Merchant not found"), "Merchant not found")</f>
        <v>grocery</v>
      </c>
      <c r="L397" s="8" t="str">
        <f>IFERROR(IFNA(vlookup(C397,merchants!$A$1:$D$41,4,FALSE),"Merchant not found"), "Merchant not found")</f>
        <v>North</v>
      </c>
      <c r="M397" s="8">
        <f>IFERROR(IFNA(hlookup(G397,payment_methods!$A$1:$E$2,2,FALSE),"Payment method not found"), "Payment method not found")</f>
        <v>0</v>
      </c>
      <c r="N397" s="8">
        <f t="shared" si="2"/>
        <v>499</v>
      </c>
      <c r="O397" s="8" t="str">
        <f t="shared" si="3"/>
        <v>Normal</v>
      </c>
    </row>
    <row r="398" ht="15.75" customHeight="1">
      <c r="A398" s="3" t="s">
        <v>515</v>
      </c>
      <c r="B398" s="5">
        <v>313.0</v>
      </c>
      <c r="C398" s="5">
        <v>26.0</v>
      </c>
      <c r="D398" s="9">
        <v>46044.25763888889</v>
      </c>
      <c r="E398" s="10">
        <f t="shared" si="1"/>
        <v>46044</v>
      </c>
      <c r="F398" s="5">
        <v>499.0</v>
      </c>
      <c r="G398" s="3" t="s">
        <v>20</v>
      </c>
      <c r="H398" s="3" t="s">
        <v>48</v>
      </c>
      <c r="I398" s="5">
        <v>54.0</v>
      </c>
      <c r="J398" s="8" t="str">
        <f>IFERROR(IFNA(vlookup(C398,merchants!$A$1:$D$41,2,FALSE),"Merchant not found"), "Merchant not found")</f>
        <v>Merchant_026</v>
      </c>
      <c r="K398" s="8" t="str">
        <f>IFERROR(IFNA(vlookup(C398,merchants!$A$1:$D$41,3,FALSE),"Merchant not found"), "Merchant not found")</f>
        <v>food_delivery</v>
      </c>
      <c r="L398" s="8" t="str">
        <f>IFERROR(IFNA(vlookup(C398,merchants!$A$1:$D$41,4,FALSE),"Merchant not found"), "Merchant not found")</f>
        <v>East</v>
      </c>
      <c r="M398" s="8">
        <f>IFERROR(IFNA(hlookup(G398,payment_methods!$A$1:$E$2,2,FALSE),"Payment method not found"), "Payment method not found")</f>
        <v>0</v>
      </c>
      <c r="N398" s="8">
        <f t="shared" si="2"/>
        <v>499</v>
      </c>
      <c r="O398" s="8" t="str">
        <f t="shared" si="3"/>
        <v>Normal</v>
      </c>
    </row>
    <row r="399" ht="15.75" customHeight="1">
      <c r="A399" s="3" t="s">
        <v>516</v>
      </c>
      <c r="B399" s="5">
        <v>206.0</v>
      </c>
      <c r="C399" s="5">
        <v>7.0</v>
      </c>
      <c r="D399" s="9">
        <v>46039.42013888889</v>
      </c>
      <c r="E399" s="10">
        <f t="shared" si="1"/>
        <v>46039</v>
      </c>
      <c r="F399" s="5">
        <v>149.0</v>
      </c>
      <c r="G399" s="3" t="s">
        <v>15</v>
      </c>
      <c r="H399" s="3" t="s">
        <v>48</v>
      </c>
      <c r="I399" s="5">
        <v>23.0</v>
      </c>
      <c r="J399" s="8" t="str">
        <f>IFERROR(IFNA(vlookup(C399,merchants!$A$1:$D$41,2,FALSE),"Merchant not found"), "Merchant not found")</f>
        <v>Merchant_007</v>
      </c>
      <c r="K399" s="8" t="str">
        <f>IFERROR(IFNA(vlookup(C399,merchants!$A$1:$D$41,3,FALSE),"Merchant not found"), "Merchant not found")</f>
        <v>food_delivery</v>
      </c>
      <c r="L399" s="8" t="str">
        <f>IFERROR(IFNA(vlookup(C399,merchants!$A$1:$D$41,4,FALSE),"Merchant not found"), "Merchant not found")</f>
        <v>East</v>
      </c>
      <c r="M399" s="8">
        <f>IFERROR(IFNA(hlookup(G399,payment_methods!$A$1:$E$2,2,FALSE),"Payment method not found"), "Payment method not found")</f>
        <v>0.0025</v>
      </c>
      <c r="N399" s="8">
        <f t="shared" si="2"/>
        <v>149</v>
      </c>
      <c r="O399" s="8" t="str">
        <f t="shared" si="3"/>
        <v>Normal</v>
      </c>
    </row>
    <row r="400" ht="15.75" customHeight="1">
      <c r="A400" s="3" t="s">
        <v>517</v>
      </c>
      <c r="B400" s="5">
        <v>128.0</v>
      </c>
      <c r="C400" s="5">
        <v>1.0</v>
      </c>
      <c r="D400" s="9">
        <v>46027.63888888889</v>
      </c>
      <c r="E400" s="10">
        <f t="shared" si="1"/>
        <v>46027</v>
      </c>
      <c r="F400" s="5">
        <v>1499.0</v>
      </c>
      <c r="G400" s="3" t="s">
        <v>25</v>
      </c>
      <c r="H400" s="3" t="s">
        <v>48</v>
      </c>
      <c r="I400" s="5">
        <v>33.0</v>
      </c>
      <c r="J400" s="8" t="str">
        <f>IFERROR(IFNA(vlookup(C400,merchants!$A$1:$D$41,2,FALSE),"Merchant not found"), "Merchant not found")</f>
        <v>Merchant_001</v>
      </c>
      <c r="K400" s="8" t="str">
        <f>IFERROR(IFNA(vlookup(C400,merchants!$A$1:$D$41,3,FALSE),"Merchant not found"), "Merchant not found")</f>
        <v>ecommerce</v>
      </c>
      <c r="L400" s="8" t="str">
        <f>IFERROR(IFNA(vlookup(C400,merchants!$A$1:$D$41,4,FALSE),"Merchant not found"), "Merchant not found")</f>
        <v>South</v>
      </c>
      <c r="M400" s="8">
        <f>IFERROR(IFNA(hlookup(G400,payment_methods!$A$1:$E$2,2,FALSE),"Payment method not found"), "Payment method not found")</f>
        <v>0.005</v>
      </c>
      <c r="N400" s="8">
        <f t="shared" si="2"/>
        <v>1499</v>
      </c>
      <c r="O400" s="8" t="str">
        <f t="shared" si="3"/>
        <v>Normal</v>
      </c>
    </row>
    <row r="401" ht="15.75" customHeight="1">
      <c r="A401" s="3" t="s">
        <v>518</v>
      </c>
      <c r="B401" s="5">
        <v>137.0</v>
      </c>
      <c r="C401" s="5">
        <v>22.0</v>
      </c>
      <c r="D401" s="9">
        <v>46035.311111111114</v>
      </c>
      <c r="E401" s="10">
        <f t="shared" si="1"/>
        <v>46035</v>
      </c>
      <c r="F401" s="5">
        <v>799.0</v>
      </c>
      <c r="G401" s="3" t="s">
        <v>20</v>
      </c>
      <c r="H401" s="3" t="s">
        <v>78</v>
      </c>
      <c r="I401" s="5">
        <v>38.0</v>
      </c>
      <c r="J401" s="8" t="str">
        <f>IFERROR(IFNA(vlookup(C401,merchants!$A$1:$D$41,2,FALSE),"Merchant not found"), "Merchant not found")</f>
        <v>Merchant_022</v>
      </c>
      <c r="K401" s="8" t="str">
        <f>IFERROR(IFNA(vlookup(C401,merchants!$A$1:$D$41,3,FALSE),"Merchant not found"), "Merchant not found")</f>
        <v>travel</v>
      </c>
      <c r="L401" s="8" t="str">
        <f>IFERROR(IFNA(vlookup(C401,merchants!$A$1:$D$41,4,FALSE),"Merchant not found"), "Merchant not found")</f>
        <v>South</v>
      </c>
      <c r="M401" s="8">
        <f>IFERROR(IFNA(hlookup(G401,payment_methods!$A$1:$E$2,2,FALSE),"Payment method not found"), "Payment method not found")</f>
        <v>0</v>
      </c>
      <c r="N401" s="8">
        <f t="shared" si="2"/>
        <v>5798</v>
      </c>
      <c r="O401" s="8" t="str">
        <f t="shared" si="3"/>
        <v>High-Value Merchant Day</v>
      </c>
    </row>
    <row r="402" ht="15.75" customHeight="1">
      <c r="A402" s="3" t="s">
        <v>519</v>
      </c>
      <c r="B402" s="5">
        <v>6.0</v>
      </c>
      <c r="C402" s="5">
        <v>17.0</v>
      </c>
      <c r="D402" s="9">
        <v>46041.98333333333</v>
      </c>
      <c r="E402" s="10">
        <f t="shared" si="1"/>
        <v>46041</v>
      </c>
      <c r="F402" s="5">
        <v>49.0</v>
      </c>
      <c r="G402" s="3" t="s">
        <v>20</v>
      </c>
      <c r="H402" s="3" t="s">
        <v>48</v>
      </c>
      <c r="I402" s="5">
        <v>83.0</v>
      </c>
      <c r="J402" s="8" t="str">
        <f>IFERROR(IFNA(vlookup(C402,merchants!$A$1:$D$41,2,FALSE),"Merchant not found"), "Merchant not found")</f>
        <v>Merchant_017</v>
      </c>
      <c r="K402" s="8" t="str">
        <f>IFERROR(IFNA(vlookup(C402,merchants!$A$1:$D$41,3,FALSE),"Merchant not found"), "Merchant not found")</f>
        <v>grocery</v>
      </c>
      <c r="L402" s="8" t="str">
        <f>IFERROR(IFNA(vlookup(C402,merchants!$A$1:$D$41,4,FALSE),"Merchant not found"), "Merchant not found")</f>
        <v>North</v>
      </c>
      <c r="M402" s="8">
        <f>IFERROR(IFNA(hlookup(G402,payment_methods!$A$1:$E$2,2,FALSE),"Payment method not found"), "Payment method not found")</f>
        <v>0</v>
      </c>
      <c r="N402" s="8">
        <f t="shared" si="2"/>
        <v>49</v>
      </c>
      <c r="O402" s="8" t="str">
        <f t="shared" si="3"/>
        <v>Normal</v>
      </c>
    </row>
    <row r="403" ht="15.75" customHeight="1">
      <c r="A403" s="3" t="s">
        <v>520</v>
      </c>
      <c r="B403" s="5">
        <v>32.0</v>
      </c>
      <c r="C403" s="5">
        <v>8.0</v>
      </c>
      <c r="D403" s="9">
        <v>46034.927083333336</v>
      </c>
      <c r="E403" s="10">
        <f t="shared" si="1"/>
        <v>46034</v>
      </c>
      <c r="F403" s="5">
        <v>299.0</v>
      </c>
      <c r="G403" s="3" t="s">
        <v>22</v>
      </c>
      <c r="H403" s="3" t="s">
        <v>48</v>
      </c>
      <c r="I403" s="5">
        <v>59.0</v>
      </c>
      <c r="J403" s="8" t="str">
        <f>IFERROR(IFNA(vlookup(C403,merchants!$A$1:$D$41,2,FALSE),"Merchant not found"), "Merchant not found")</f>
        <v>Merchant_008</v>
      </c>
      <c r="K403" s="8" t="str">
        <f>IFERROR(IFNA(vlookup(C403,merchants!$A$1:$D$41,3,FALSE),"Merchant not found"), "Merchant not found")</f>
        <v>food_delivery</v>
      </c>
      <c r="L403" s="8" t="str">
        <f>IFERROR(IFNA(vlookup(C403,merchants!$A$1:$D$41,4,FALSE),"Merchant not found"), "Merchant not found")</f>
        <v>North</v>
      </c>
      <c r="M403" s="8">
        <f>IFERROR(IFNA(hlookup(G403,payment_methods!$A$1:$E$2,2,FALSE),"Payment method not found"), "Payment method not found")</f>
        <v>0.01</v>
      </c>
      <c r="N403" s="8">
        <f t="shared" si="2"/>
        <v>398</v>
      </c>
      <c r="O403" s="8" t="str">
        <f t="shared" si="3"/>
        <v>Normal</v>
      </c>
    </row>
    <row r="404" ht="15.75" customHeight="1">
      <c r="A404" s="3" t="s">
        <v>521</v>
      </c>
      <c r="B404" s="5">
        <v>258.0</v>
      </c>
      <c r="C404" s="5">
        <v>20.0</v>
      </c>
      <c r="D404" s="9">
        <v>46032.225694444445</v>
      </c>
      <c r="E404" s="10">
        <f t="shared" si="1"/>
        <v>46032</v>
      </c>
      <c r="F404" s="5">
        <v>149.0</v>
      </c>
      <c r="G404" s="3" t="s">
        <v>20</v>
      </c>
      <c r="H404" s="3" t="s">
        <v>48</v>
      </c>
      <c r="I404" s="5">
        <v>88.0</v>
      </c>
      <c r="J404" s="8" t="str">
        <f>IFERROR(IFNA(vlookup(C404,merchants!$A$1:$D$41,2,FALSE),"Merchant not found"), "Merchant not found")</f>
        <v>Merchant_020</v>
      </c>
      <c r="K404" s="8" t="str">
        <f>IFERROR(IFNA(vlookup(C404,merchants!$A$1:$D$41,3,FALSE),"Merchant not found"), "Merchant not found")</f>
        <v>food_delivery</v>
      </c>
      <c r="L404" s="8" t="str">
        <f>IFERROR(IFNA(vlookup(C404,merchants!$A$1:$D$41,4,FALSE),"Merchant not found"), "Merchant not found")</f>
        <v>East</v>
      </c>
      <c r="M404" s="8">
        <f>IFERROR(IFNA(hlookup(G404,payment_methods!$A$1:$E$2,2,FALSE),"Payment method not found"), "Payment method not found")</f>
        <v>0</v>
      </c>
      <c r="N404" s="8">
        <f t="shared" si="2"/>
        <v>149</v>
      </c>
      <c r="O404" s="8" t="str">
        <f t="shared" si="3"/>
        <v>Normal</v>
      </c>
    </row>
    <row r="405" ht="15.75" customHeight="1">
      <c r="A405" s="3" t="s">
        <v>522</v>
      </c>
      <c r="B405" s="5">
        <v>152.0</v>
      </c>
      <c r="C405" s="5">
        <v>24.0</v>
      </c>
      <c r="D405" s="9">
        <v>46026.873611111114</v>
      </c>
      <c r="E405" s="10">
        <f t="shared" si="1"/>
        <v>46026</v>
      </c>
      <c r="F405" s="5">
        <v>149.0</v>
      </c>
      <c r="G405" s="3" t="s">
        <v>20</v>
      </c>
      <c r="H405" s="3" t="s">
        <v>81</v>
      </c>
      <c r="I405" s="5">
        <v>78.0</v>
      </c>
      <c r="J405" s="8" t="str">
        <f>IFERROR(IFNA(vlookup(C405,merchants!$A$1:$D$41,2,FALSE),"Merchant not found"), "Merchant not found")</f>
        <v>Merchant_024</v>
      </c>
      <c r="K405" s="8" t="str">
        <f>IFERROR(IFNA(vlookup(C405,merchants!$A$1:$D$41,3,FALSE),"Merchant not found"), "Merchant not found")</f>
        <v>grocery</v>
      </c>
      <c r="L405" s="8" t="str">
        <f>IFERROR(IFNA(vlookup(C405,merchants!$A$1:$D$41,4,FALSE),"Merchant not found"), "Merchant not found")</f>
        <v>North</v>
      </c>
      <c r="M405" s="8">
        <f>IFERROR(IFNA(hlookup(G405,payment_methods!$A$1:$E$2,2,FALSE),"Payment method not found"), "Payment method not found")</f>
        <v>0</v>
      </c>
      <c r="N405" s="8">
        <f t="shared" si="2"/>
        <v>149</v>
      </c>
      <c r="O405" s="8" t="str">
        <f t="shared" si="3"/>
        <v>Normal</v>
      </c>
    </row>
    <row r="406" ht="15.75" customHeight="1">
      <c r="A406" s="3" t="s">
        <v>523</v>
      </c>
      <c r="B406" s="5">
        <v>245.0</v>
      </c>
      <c r="C406" s="5">
        <v>10.0</v>
      </c>
      <c r="D406" s="9">
        <v>46030.29722222222</v>
      </c>
      <c r="E406" s="10">
        <f t="shared" si="1"/>
        <v>46030</v>
      </c>
      <c r="F406" s="5">
        <v>799.0</v>
      </c>
      <c r="G406" s="3" t="s">
        <v>15</v>
      </c>
      <c r="H406" s="3" t="s">
        <v>48</v>
      </c>
      <c r="I406" s="5">
        <v>58.0</v>
      </c>
      <c r="J406" s="8" t="str">
        <f>IFERROR(IFNA(vlookup(C406,merchants!$A$1:$D$41,2,FALSE),"Merchant not found"), "Merchant not found")</f>
        <v>Merchant_010</v>
      </c>
      <c r="K406" s="8" t="str">
        <f>IFERROR(IFNA(vlookup(C406,merchants!$A$1:$D$41,3,FALSE),"Merchant not found"), "Merchant not found")</f>
        <v>grocery</v>
      </c>
      <c r="L406" s="8" t="str">
        <f>IFERROR(IFNA(vlookup(C406,merchants!$A$1:$D$41,4,FALSE),"Merchant not found"), "Merchant not found")</f>
        <v>West</v>
      </c>
      <c r="M406" s="8">
        <f>IFERROR(IFNA(hlookup(G406,payment_methods!$A$1:$E$2,2,FALSE),"Payment method not found"), "Payment method not found")</f>
        <v>0.0025</v>
      </c>
      <c r="N406" s="8">
        <f t="shared" si="2"/>
        <v>799</v>
      </c>
      <c r="O406" s="8" t="str">
        <f t="shared" si="3"/>
        <v>Normal</v>
      </c>
    </row>
    <row r="407" ht="15.75" customHeight="1">
      <c r="A407" s="3" t="s">
        <v>524</v>
      </c>
      <c r="B407" s="5">
        <v>213.0</v>
      </c>
      <c r="C407" s="5">
        <v>36.0</v>
      </c>
      <c r="D407" s="9">
        <v>46046.80763888889</v>
      </c>
      <c r="E407" s="10">
        <f t="shared" si="1"/>
        <v>46046</v>
      </c>
      <c r="F407" s="5">
        <v>49.0</v>
      </c>
      <c r="G407" s="3" t="s">
        <v>15</v>
      </c>
      <c r="H407" s="3" t="s">
        <v>48</v>
      </c>
      <c r="I407" s="5">
        <v>60.0</v>
      </c>
      <c r="J407" s="8" t="str">
        <f>IFERROR(IFNA(vlookup(C407,merchants!$A$1:$D$41,2,FALSE),"Merchant not found"), "Merchant not found")</f>
        <v>Merchant_036</v>
      </c>
      <c r="K407" s="8" t="str">
        <f>IFERROR(IFNA(vlookup(C407,merchants!$A$1:$D$41,3,FALSE),"Merchant not found"), "Merchant not found")</f>
        <v>entertainment</v>
      </c>
      <c r="L407" s="8" t="str">
        <f>IFERROR(IFNA(vlookup(C407,merchants!$A$1:$D$41,4,FALSE),"Merchant not found"), "Merchant not found")</f>
        <v>East</v>
      </c>
      <c r="M407" s="8">
        <f>IFERROR(IFNA(hlookup(G407,payment_methods!$A$1:$E$2,2,FALSE),"Payment method not found"), "Payment method not found")</f>
        <v>0.0025</v>
      </c>
      <c r="N407" s="8">
        <f t="shared" si="2"/>
        <v>1647</v>
      </c>
      <c r="O407" s="8" t="str">
        <f t="shared" si="3"/>
        <v>Normal</v>
      </c>
    </row>
    <row r="408" ht="15.75" customHeight="1">
      <c r="A408" s="3" t="s">
        <v>525</v>
      </c>
      <c r="B408" s="5">
        <v>341.0</v>
      </c>
      <c r="C408" s="5">
        <v>14.0</v>
      </c>
      <c r="D408" s="9">
        <v>46047.74375</v>
      </c>
      <c r="E408" s="10">
        <f t="shared" si="1"/>
        <v>46047</v>
      </c>
      <c r="F408" s="5">
        <v>99.0</v>
      </c>
      <c r="G408" s="3" t="s">
        <v>25</v>
      </c>
      <c r="H408" s="3" t="s">
        <v>48</v>
      </c>
      <c r="I408" s="5">
        <v>97.0</v>
      </c>
      <c r="J408" s="8" t="str">
        <f>IFERROR(IFNA(vlookup(C408,merchants!$A$1:$D$41,2,FALSE),"Merchant not found"), "Merchant not found")</f>
        <v>Merchant_014</v>
      </c>
      <c r="K408" s="8" t="str">
        <f>IFERROR(IFNA(vlookup(C408,merchants!$A$1:$D$41,3,FALSE),"Merchant not found"), "Merchant not found")</f>
        <v>grocery</v>
      </c>
      <c r="L408" s="8" t="str">
        <f>IFERROR(IFNA(vlookup(C408,merchants!$A$1:$D$41,4,FALSE),"Merchant not found"), "Merchant not found")</f>
        <v>East</v>
      </c>
      <c r="M408" s="8">
        <f>IFERROR(IFNA(hlookup(G408,payment_methods!$A$1:$E$2,2,FALSE),"Payment method not found"), "Payment method not found")</f>
        <v>0.005</v>
      </c>
      <c r="N408" s="8">
        <f t="shared" si="2"/>
        <v>1598</v>
      </c>
      <c r="O408" s="8" t="str">
        <f t="shared" si="3"/>
        <v>Normal</v>
      </c>
    </row>
    <row r="409" ht="15.75" customHeight="1">
      <c r="A409" s="3" t="s">
        <v>526</v>
      </c>
      <c r="B409" s="5">
        <v>306.0</v>
      </c>
      <c r="C409" s="5">
        <v>6.0</v>
      </c>
      <c r="D409" s="9">
        <v>46030.90833333333</v>
      </c>
      <c r="E409" s="10">
        <f t="shared" si="1"/>
        <v>46030</v>
      </c>
      <c r="F409" s="5">
        <v>149.0</v>
      </c>
      <c r="G409" s="3" t="s">
        <v>25</v>
      </c>
      <c r="H409" s="3" t="s">
        <v>48</v>
      </c>
      <c r="I409" s="5">
        <v>67.0</v>
      </c>
      <c r="J409" s="8" t="str">
        <f>IFERROR(IFNA(vlookup(C409,merchants!$A$1:$D$41,2,FALSE),"Merchant not found"), "Merchant not found")</f>
        <v>Merchant_006</v>
      </c>
      <c r="K409" s="8" t="str">
        <f>IFERROR(IFNA(vlookup(C409,merchants!$A$1:$D$41,3,FALSE),"Merchant not found"), "Merchant not found")</f>
        <v>food_delivery</v>
      </c>
      <c r="L409" s="8" t="str">
        <f>IFERROR(IFNA(vlookup(C409,merchants!$A$1:$D$41,4,FALSE),"Merchant not found"), "Merchant not found")</f>
        <v>South</v>
      </c>
      <c r="M409" s="8">
        <f>IFERROR(IFNA(hlookup(G409,payment_methods!$A$1:$E$2,2,FALSE),"Payment method not found"), "Payment method not found")</f>
        <v>0.005</v>
      </c>
      <c r="N409" s="8">
        <f t="shared" si="2"/>
        <v>149</v>
      </c>
      <c r="O409" s="8" t="str">
        <f t="shared" si="3"/>
        <v>Normal</v>
      </c>
    </row>
    <row r="410" ht="15.75" customHeight="1">
      <c r="A410" s="3" t="s">
        <v>527</v>
      </c>
      <c r="B410" s="5">
        <v>186.0</v>
      </c>
      <c r="C410" s="5">
        <v>5.0</v>
      </c>
      <c r="D410" s="9">
        <v>46037.697916666664</v>
      </c>
      <c r="E410" s="10">
        <f t="shared" si="1"/>
        <v>46037</v>
      </c>
      <c r="F410" s="5">
        <v>499.0</v>
      </c>
      <c r="G410" s="3" t="s">
        <v>20</v>
      </c>
      <c r="H410" s="3" t="s">
        <v>48</v>
      </c>
      <c r="I410" s="5">
        <v>72.0</v>
      </c>
      <c r="J410" s="8" t="str">
        <f>IFERROR(IFNA(vlookup(C410,merchants!$A$1:$D$41,2,FALSE),"Merchant not found"), "Merchant not found")</f>
        <v>Merchant_005</v>
      </c>
      <c r="K410" s="8" t="str">
        <f>IFERROR(IFNA(vlookup(C410,merchants!$A$1:$D$41,3,FALSE),"Merchant not found"), "Merchant not found")</f>
        <v>recharge</v>
      </c>
      <c r="L410" s="8" t="str">
        <f>IFERROR(IFNA(vlookup(C410,merchants!$A$1:$D$41,4,FALSE),"Merchant not found"), "Merchant not found")</f>
        <v>South</v>
      </c>
      <c r="M410" s="8">
        <f>IFERROR(IFNA(hlookup(G410,payment_methods!$A$1:$E$2,2,FALSE),"Payment method not found"), "Payment method not found")</f>
        <v>0</v>
      </c>
      <c r="N410" s="8">
        <f t="shared" si="2"/>
        <v>548</v>
      </c>
      <c r="O410" s="8" t="str">
        <f t="shared" si="3"/>
        <v>Normal</v>
      </c>
    </row>
    <row r="411" ht="15.75" customHeight="1">
      <c r="A411" s="3" t="s">
        <v>528</v>
      </c>
      <c r="B411" s="5">
        <v>281.0</v>
      </c>
      <c r="C411" s="5">
        <v>33.0</v>
      </c>
      <c r="D411" s="9">
        <v>46026.07847222222</v>
      </c>
      <c r="E411" s="10">
        <f t="shared" si="1"/>
        <v>46026</v>
      </c>
      <c r="F411" s="5">
        <v>4999.0</v>
      </c>
      <c r="G411" s="3" t="s">
        <v>20</v>
      </c>
      <c r="H411" s="3" t="s">
        <v>48</v>
      </c>
      <c r="I411" s="5">
        <v>25.0</v>
      </c>
      <c r="J411" s="8" t="str">
        <f>IFERROR(IFNA(vlookup(C411,merchants!$A$1:$D$41,2,FALSE),"Merchant not found"), "Merchant not found")</f>
        <v>Merchant_033</v>
      </c>
      <c r="K411" s="8" t="str">
        <f>IFERROR(IFNA(vlookup(C411,merchants!$A$1:$D$41,3,FALSE),"Merchant not found"), "Merchant not found")</f>
        <v>bill_payment</v>
      </c>
      <c r="L411" s="8" t="str">
        <f>IFERROR(IFNA(vlookup(C411,merchants!$A$1:$D$41,4,FALSE),"Merchant not found"), "Merchant not found")</f>
        <v>East</v>
      </c>
      <c r="M411" s="8">
        <f>IFERROR(IFNA(hlookup(G411,payment_methods!$A$1:$E$2,2,FALSE),"Payment method not found"), "Payment method not found")</f>
        <v>0</v>
      </c>
      <c r="N411" s="8">
        <f t="shared" si="2"/>
        <v>4999</v>
      </c>
      <c r="O411" s="8" t="str">
        <f t="shared" si="3"/>
        <v>Normal</v>
      </c>
    </row>
    <row r="412" ht="15.75" customHeight="1">
      <c r="A412" s="3" t="s">
        <v>529</v>
      </c>
      <c r="B412" s="5">
        <v>85.0</v>
      </c>
      <c r="C412" s="5">
        <v>21.0</v>
      </c>
      <c r="D412" s="9">
        <v>46041.714583333334</v>
      </c>
      <c r="E412" s="10">
        <f t="shared" si="1"/>
        <v>46041</v>
      </c>
      <c r="F412" s="5">
        <v>99.0</v>
      </c>
      <c r="G412" s="3" t="s">
        <v>20</v>
      </c>
      <c r="H412" s="3" t="s">
        <v>48</v>
      </c>
      <c r="I412" s="5">
        <v>66.0</v>
      </c>
      <c r="J412" s="8" t="str">
        <f>IFERROR(IFNA(vlookup(C412,merchants!$A$1:$D$41,2,FALSE),"Merchant not found"), "Merchant not found")</f>
        <v>Merchant_021</v>
      </c>
      <c r="K412" s="8" t="str">
        <f>IFERROR(IFNA(vlookup(C412,merchants!$A$1:$D$41,3,FALSE),"Merchant not found"), "Merchant not found")</f>
        <v>food_delivery</v>
      </c>
      <c r="L412" s="8" t="str">
        <f>IFERROR(IFNA(vlookup(C412,merchants!$A$1:$D$41,4,FALSE),"Merchant not found"), "Merchant not found")</f>
        <v>East</v>
      </c>
      <c r="M412" s="8">
        <f>IFERROR(IFNA(hlookup(G412,payment_methods!$A$1:$E$2,2,FALSE),"Payment method not found"), "Payment method not found")</f>
        <v>0</v>
      </c>
      <c r="N412" s="8">
        <f t="shared" si="2"/>
        <v>99</v>
      </c>
      <c r="O412" s="8" t="str">
        <f t="shared" si="3"/>
        <v>Normal</v>
      </c>
    </row>
    <row r="413" ht="15.75" customHeight="1">
      <c r="A413" s="3" t="s">
        <v>530</v>
      </c>
      <c r="B413" s="5">
        <v>106.0</v>
      </c>
      <c r="C413" s="5">
        <v>38.0</v>
      </c>
      <c r="D413" s="9">
        <v>46037.154861111114</v>
      </c>
      <c r="E413" s="10">
        <f t="shared" si="1"/>
        <v>46037</v>
      </c>
      <c r="F413" s="5">
        <v>499.0</v>
      </c>
      <c r="G413" s="3" t="s">
        <v>20</v>
      </c>
      <c r="H413" s="3" t="s">
        <v>48</v>
      </c>
      <c r="I413" s="5">
        <v>62.0</v>
      </c>
      <c r="J413" s="8" t="str">
        <f>IFERROR(IFNA(vlookup(C413,merchants!$A$1:$D$41,2,FALSE),"Merchant not found"), "Merchant not found")</f>
        <v>Merchant_038</v>
      </c>
      <c r="K413" s="8" t="str">
        <f>IFERROR(IFNA(vlookup(C413,merchants!$A$1:$D$41,3,FALSE),"Merchant not found"), "Merchant not found")</f>
        <v>grocery</v>
      </c>
      <c r="L413" s="8" t="str">
        <f>IFERROR(IFNA(vlookup(C413,merchants!$A$1:$D$41,4,FALSE),"Merchant not found"), "Merchant not found")</f>
        <v>East</v>
      </c>
      <c r="M413" s="8">
        <f>IFERROR(IFNA(hlookup(G413,payment_methods!$A$1:$E$2,2,FALSE),"Payment method not found"), "Payment method not found")</f>
        <v>0</v>
      </c>
      <c r="N413" s="8">
        <f t="shared" si="2"/>
        <v>499</v>
      </c>
      <c r="O413" s="8" t="str">
        <f t="shared" si="3"/>
        <v>Normal</v>
      </c>
    </row>
    <row r="414" ht="15.75" customHeight="1">
      <c r="A414" s="3" t="s">
        <v>531</v>
      </c>
      <c r="B414" s="5">
        <v>29.0</v>
      </c>
      <c r="C414" s="5">
        <v>30.0</v>
      </c>
      <c r="D414" s="9">
        <v>46025.686111111114</v>
      </c>
      <c r="E414" s="10">
        <f t="shared" si="1"/>
        <v>46025</v>
      </c>
      <c r="F414" s="5">
        <v>149.0</v>
      </c>
      <c r="G414" s="3" t="s">
        <v>25</v>
      </c>
      <c r="H414" s="3" t="s">
        <v>48</v>
      </c>
      <c r="I414" s="5">
        <v>16.0</v>
      </c>
      <c r="J414" s="8" t="str">
        <f>IFERROR(IFNA(vlookup(C414,merchants!$A$1:$D$41,2,FALSE),"Merchant not found"), "Merchant not found")</f>
        <v>Merchant_030</v>
      </c>
      <c r="K414" s="8" t="str">
        <f>IFERROR(IFNA(vlookup(C414,merchants!$A$1:$D$41,3,FALSE),"Merchant not found"), "Merchant not found")</f>
        <v>travel</v>
      </c>
      <c r="L414" s="8" t="str">
        <f>IFERROR(IFNA(vlookup(C414,merchants!$A$1:$D$41,4,FALSE),"Merchant not found"), "Merchant not found")</f>
        <v>West</v>
      </c>
      <c r="M414" s="8">
        <f>IFERROR(IFNA(hlookup(G414,payment_methods!$A$1:$E$2,2,FALSE),"Payment method not found"), "Payment method not found")</f>
        <v>0.005</v>
      </c>
      <c r="N414" s="8">
        <f t="shared" si="2"/>
        <v>149</v>
      </c>
      <c r="O414" s="8" t="str">
        <f t="shared" si="3"/>
        <v>Normal</v>
      </c>
    </row>
    <row r="415" ht="15.75" customHeight="1">
      <c r="A415" s="3" t="s">
        <v>532</v>
      </c>
      <c r="B415" s="5">
        <v>289.0</v>
      </c>
      <c r="C415" s="5">
        <v>4.0</v>
      </c>
      <c r="D415" s="9">
        <v>46039.56180555555</v>
      </c>
      <c r="E415" s="10">
        <f t="shared" si="1"/>
        <v>46039</v>
      </c>
      <c r="F415" s="5">
        <v>1499.0</v>
      </c>
      <c r="G415" s="3" t="s">
        <v>22</v>
      </c>
      <c r="H415" s="3" t="s">
        <v>48</v>
      </c>
      <c r="I415" s="5">
        <v>71.0</v>
      </c>
      <c r="J415" s="8" t="str">
        <f>IFERROR(IFNA(vlookup(C415,merchants!$A$1:$D$41,2,FALSE),"Merchant not found"), "Merchant not found")</f>
        <v>Merchant_004</v>
      </c>
      <c r="K415" s="8" t="str">
        <f>IFERROR(IFNA(vlookup(C415,merchants!$A$1:$D$41,3,FALSE),"Merchant not found"), "Merchant not found")</f>
        <v>ecommerce</v>
      </c>
      <c r="L415" s="8" t="str">
        <f>IFERROR(IFNA(vlookup(C415,merchants!$A$1:$D$41,4,FALSE),"Merchant not found"), "Merchant not found")</f>
        <v>East</v>
      </c>
      <c r="M415" s="8">
        <f>IFERROR(IFNA(hlookup(G415,payment_methods!$A$1:$E$2,2,FALSE),"Payment method not found"), "Payment method not found")</f>
        <v>0.01</v>
      </c>
      <c r="N415" s="8">
        <f t="shared" si="2"/>
        <v>1499</v>
      </c>
      <c r="O415" s="8" t="str">
        <f t="shared" si="3"/>
        <v>Normal</v>
      </c>
    </row>
    <row r="416" ht="15.75" customHeight="1">
      <c r="A416" s="3" t="s">
        <v>533</v>
      </c>
      <c r="B416" s="5">
        <v>158.0</v>
      </c>
      <c r="C416" s="5">
        <v>2.0</v>
      </c>
      <c r="D416" s="9">
        <v>46037.910416666666</v>
      </c>
      <c r="E416" s="10">
        <f t="shared" si="1"/>
        <v>46037</v>
      </c>
      <c r="F416" s="5">
        <v>1499.0</v>
      </c>
      <c r="G416" s="3" t="s">
        <v>22</v>
      </c>
      <c r="H416" s="3" t="s">
        <v>48</v>
      </c>
      <c r="I416" s="5">
        <v>50.0</v>
      </c>
      <c r="J416" s="8" t="str">
        <f>IFERROR(IFNA(vlookup(C416,merchants!$A$1:$D$41,2,FALSE),"Merchant not found"), "Merchant not found")</f>
        <v>Merchant_002</v>
      </c>
      <c r="K416" s="8" t="str">
        <f>IFERROR(IFNA(vlookup(C416,merchants!$A$1:$D$41,3,FALSE),"Merchant not found"), "Merchant not found")</f>
        <v>grocery</v>
      </c>
      <c r="L416" s="8" t="str">
        <f>IFERROR(IFNA(vlookup(C416,merchants!$A$1:$D$41,4,FALSE),"Merchant not found"), "Merchant not found")</f>
        <v>West</v>
      </c>
      <c r="M416" s="8">
        <f>IFERROR(IFNA(hlookup(G416,payment_methods!$A$1:$E$2,2,FALSE),"Payment method not found"), "Payment method not found")</f>
        <v>0.01</v>
      </c>
      <c r="N416" s="8">
        <f t="shared" si="2"/>
        <v>1499</v>
      </c>
      <c r="O416" s="8" t="str">
        <f t="shared" si="3"/>
        <v>Normal</v>
      </c>
    </row>
    <row r="417" ht="15.75" customHeight="1">
      <c r="A417" s="3" t="s">
        <v>534</v>
      </c>
      <c r="B417" s="5">
        <v>112.0</v>
      </c>
      <c r="C417" s="5">
        <v>38.0</v>
      </c>
      <c r="D417" s="9">
        <v>46031.032638888886</v>
      </c>
      <c r="E417" s="10">
        <f t="shared" si="1"/>
        <v>46031</v>
      </c>
      <c r="F417" s="5">
        <v>49.0</v>
      </c>
      <c r="G417" s="3" t="s">
        <v>20</v>
      </c>
      <c r="H417" s="3" t="s">
        <v>48</v>
      </c>
      <c r="I417" s="5">
        <v>9.0</v>
      </c>
      <c r="J417" s="8" t="str">
        <f>IFERROR(IFNA(vlookup(C417,merchants!$A$1:$D$41,2,FALSE),"Merchant not found"), "Merchant not found")</f>
        <v>Merchant_038</v>
      </c>
      <c r="K417" s="8" t="str">
        <f>IFERROR(IFNA(vlookup(C417,merchants!$A$1:$D$41,3,FALSE),"Merchant not found"), "Merchant not found")</f>
        <v>grocery</v>
      </c>
      <c r="L417" s="8" t="str">
        <f>IFERROR(IFNA(vlookup(C417,merchants!$A$1:$D$41,4,FALSE),"Merchant not found"), "Merchant not found")</f>
        <v>East</v>
      </c>
      <c r="M417" s="8">
        <f>IFERROR(IFNA(hlookup(G417,payment_methods!$A$1:$E$2,2,FALSE),"Payment method not found"), "Payment method not found")</f>
        <v>0</v>
      </c>
      <c r="N417" s="8">
        <f t="shared" si="2"/>
        <v>348</v>
      </c>
      <c r="O417" s="8" t="str">
        <f t="shared" si="3"/>
        <v>Normal</v>
      </c>
    </row>
    <row r="418" ht="15.75" customHeight="1">
      <c r="A418" s="3" t="s">
        <v>535</v>
      </c>
      <c r="B418" s="5">
        <v>33.0</v>
      </c>
      <c r="C418" s="5">
        <v>35.0</v>
      </c>
      <c r="D418" s="9">
        <v>46024.55694444444</v>
      </c>
      <c r="E418" s="10">
        <f t="shared" si="1"/>
        <v>46024</v>
      </c>
      <c r="F418" s="5">
        <v>299.0</v>
      </c>
      <c r="G418" s="3" t="s">
        <v>22</v>
      </c>
      <c r="H418" s="3" t="s">
        <v>78</v>
      </c>
      <c r="I418" s="5">
        <v>7.0</v>
      </c>
      <c r="J418" s="8" t="str">
        <f>IFERROR(IFNA(vlookup(C418,merchants!$A$1:$D$41,2,FALSE),"Merchant not found"), "Merchant not found")</f>
        <v>Merchant_035</v>
      </c>
      <c r="K418" s="8" t="str">
        <f>IFERROR(IFNA(vlookup(C418,merchants!$A$1:$D$41,3,FALSE),"Merchant not found"), "Merchant not found")</f>
        <v>recharge</v>
      </c>
      <c r="L418" s="8" t="str">
        <f>IFERROR(IFNA(vlookup(C418,merchants!$A$1:$D$41,4,FALSE),"Merchant not found"), "Merchant not found")</f>
        <v>East</v>
      </c>
      <c r="M418" s="8">
        <f>IFERROR(IFNA(hlookup(G418,payment_methods!$A$1:$E$2,2,FALSE),"Payment method not found"), "Payment method not found")</f>
        <v>0.01</v>
      </c>
      <c r="N418" s="8">
        <f t="shared" si="2"/>
        <v>1847</v>
      </c>
      <c r="O418" s="8" t="str">
        <f t="shared" si="3"/>
        <v>Normal</v>
      </c>
    </row>
    <row r="419" ht="15.75" customHeight="1">
      <c r="A419" s="3" t="s">
        <v>536</v>
      </c>
      <c r="B419" s="5">
        <v>242.0</v>
      </c>
      <c r="C419" s="5">
        <v>3.0</v>
      </c>
      <c r="D419" s="9">
        <v>46052.12430555555</v>
      </c>
      <c r="E419" s="10">
        <f t="shared" si="1"/>
        <v>46052</v>
      </c>
      <c r="F419" s="5">
        <v>49.0</v>
      </c>
      <c r="G419" s="3" t="s">
        <v>20</v>
      </c>
      <c r="H419" s="3" t="s">
        <v>48</v>
      </c>
      <c r="I419" s="5">
        <v>36.0</v>
      </c>
      <c r="J419" s="8" t="str">
        <f>IFERROR(IFNA(vlookup(C419,merchants!$A$1:$D$41,2,FALSE),"Merchant not found"), "Merchant not found")</f>
        <v>Merchant_003</v>
      </c>
      <c r="K419" s="8" t="str">
        <f>IFERROR(IFNA(vlookup(C419,merchants!$A$1:$D$41,3,FALSE),"Merchant not found"), "Merchant not found")</f>
        <v>grocery</v>
      </c>
      <c r="L419" s="8" t="str">
        <f>IFERROR(IFNA(vlookup(C419,merchants!$A$1:$D$41,4,FALSE),"Merchant not found"), "Merchant not found")</f>
        <v>East</v>
      </c>
      <c r="M419" s="8">
        <f>IFERROR(IFNA(hlookup(G419,payment_methods!$A$1:$E$2,2,FALSE),"Payment method not found"), "Payment method not found")</f>
        <v>0</v>
      </c>
      <c r="N419" s="8">
        <f t="shared" si="2"/>
        <v>49</v>
      </c>
      <c r="O419" s="8" t="str">
        <f t="shared" si="3"/>
        <v>Normal</v>
      </c>
    </row>
    <row r="420" ht="15.75" customHeight="1">
      <c r="A420" s="3" t="s">
        <v>537</v>
      </c>
      <c r="B420" s="5">
        <v>70.0</v>
      </c>
      <c r="C420" s="5">
        <v>27.0</v>
      </c>
      <c r="D420" s="9">
        <v>46036.24236111111</v>
      </c>
      <c r="E420" s="10">
        <f t="shared" si="1"/>
        <v>46036</v>
      </c>
      <c r="F420" s="5">
        <v>149.0</v>
      </c>
      <c r="G420" s="3" t="s">
        <v>20</v>
      </c>
      <c r="H420" s="3" t="s">
        <v>48</v>
      </c>
      <c r="I420" s="5">
        <v>47.0</v>
      </c>
      <c r="J420" s="8" t="str">
        <f>IFERROR(IFNA(vlookup(C420,merchants!$A$1:$D$41,2,FALSE),"Merchant not found"), "Merchant not found")</f>
        <v>Merchant_027</v>
      </c>
      <c r="K420" s="8" t="str">
        <f>IFERROR(IFNA(vlookup(C420,merchants!$A$1:$D$41,3,FALSE),"Merchant not found"), "Merchant not found")</f>
        <v>ecommerce</v>
      </c>
      <c r="L420" s="8" t="str">
        <f>IFERROR(IFNA(vlookup(C420,merchants!$A$1:$D$41,4,FALSE),"Merchant not found"), "Merchant not found")</f>
        <v>North</v>
      </c>
      <c r="M420" s="8">
        <f>IFERROR(IFNA(hlookup(G420,payment_methods!$A$1:$E$2,2,FALSE),"Payment method not found"), "Payment method not found")</f>
        <v>0</v>
      </c>
      <c r="N420" s="8">
        <f t="shared" si="2"/>
        <v>149</v>
      </c>
      <c r="O420" s="8" t="str">
        <f t="shared" si="3"/>
        <v>Normal</v>
      </c>
    </row>
    <row r="421" ht="15.75" customHeight="1">
      <c r="A421" s="3" t="s">
        <v>538</v>
      </c>
      <c r="B421" s="5">
        <v>194.0</v>
      </c>
      <c r="C421" s="5">
        <v>25.0</v>
      </c>
      <c r="D421" s="9">
        <v>46051.51944444444</v>
      </c>
      <c r="E421" s="10">
        <f t="shared" si="1"/>
        <v>46051</v>
      </c>
      <c r="F421" s="5">
        <v>49.0</v>
      </c>
      <c r="G421" s="3" t="s">
        <v>15</v>
      </c>
      <c r="H421" s="3" t="s">
        <v>48</v>
      </c>
      <c r="I421" s="5">
        <v>10.0</v>
      </c>
      <c r="J421" s="8" t="str">
        <f>IFERROR(IFNA(vlookup(C421,merchants!$A$1:$D$41,2,FALSE),"Merchant not found"), "Merchant not found")</f>
        <v>Merchant_025</v>
      </c>
      <c r="K421" s="8" t="str">
        <f>IFERROR(IFNA(vlookup(C421,merchants!$A$1:$D$41,3,FALSE),"Merchant not found"), "Merchant not found")</f>
        <v>travel</v>
      </c>
      <c r="L421" s="8" t="str">
        <f>IFERROR(IFNA(vlookup(C421,merchants!$A$1:$D$41,4,FALSE),"Merchant not found"), "Merchant not found")</f>
        <v>South</v>
      </c>
      <c r="M421" s="8">
        <f>IFERROR(IFNA(hlookup(G421,payment_methods!$A$1:$E$2,2,FALSE),"Payment method not found"), "Payment method not found")</f>
        <v>0.0025</v>
      </c>
      <c r="N421" s="8">
        <f t="shared" si="2"/>
        <v>3048</v>
      </c>
      <c r="O421" s="8" t="str">
        <f t="shared" si="3"/>
        <v>Normal</v>
      </c>
    </row>
    <row r="422" ht="15.75" customHeight="1">
      <c r="A422" s="3" t="s">
        <v>539</v>
      </c>
      <c r="B422" s="5">
        <v>277.0</v>
      </c>
      <c r="C422" s="5">
        <v>9.0</v>
      </c>
      <c r="D422" s="9">
        <v>46044.913194444445</v>
      </c>
      <c r="E422" s="10">
        <f t="shared" si="1"/>
        <v>46044</v>
      </c>
      <c r="F422" s="5">
        <v>799.0</v>
      </c>
      <c r="G422" s="3" t="s">
        <v>20</v>
      </c>
      <c r="H422" s="3" t="s">
        <v>48</v>
      </c>
      <c r="I422" s="5">
        <v>83.0</v>
      </c>
      <c r="J422" s="8" t="str">
        <f>IFERROR(IFNA(vlookup(C422,merchants!$A$1:$D$41,2,FALSE),"Merchant not found"), "Merchant not found")</f>
        <v>Merchant_009</v>
      </c>
      <c r="K422" s="8" t="str">
        <f>IFERROR(IFNA(vlookup(C422,merchants!$A$1:$D$41,3,FALSE),"Merchant not found"), "Merchant not found")</f>
        <v>ecommerce</v>
      </c>
      <c r="L422" s="8" t="str">
        <f>IFERROR(IFNA(vlookup(C422,merchants!$A$1:$D$41,4,FALSE),"Merchant not found"), "Merchant not found")</f>
        <v>North</v>
      </c>
      <c r="M422" s="8">
        <f>IFERROR(IFNA(hlookup(G422,payment_methods!$A$1:$E$2,2,FALSE),"Payment method not found"), "Payment method not found")</f>
        <v>0</v>
      </c>
      <c r="N422" s="8">
        <f t="shared" si="2"/>
        <v>1298</v>
      </c>
      <c r="O422" s="8" t="str">
        <f t="shared" si="3"/>
        <v>Normal</v>
      </c>
    </row>
    <row r="423" ht="15.75" customHeight="1">
      <c r="A423" s="3" t="s">
        <v>540</v>
      </c>
      <c r="B423" s="5">
        <v>92.0</v>
      </c>
      <c r="C423" s="5">
        <v>35.0</v>
      </c>
      <c r="D423" s="9">
        <v>46050.46319444444</v>
      </c>
      <c r="E423" s="10">
        <f t="shared" si="1"/>
        <v>46050</v>
      </c>
      <c r="F423" s="5">
        <v>49.0</v>
      </c>
      <c r="G423" s="3" t="s">
        <v>20</v>
      </c>
      <c r="H423" s="3" t="s">
        <v>48</v>
      </c>
      <c r="I423" s="5">
        <v>50.0</v>
      </c>
      <c r="J423" s="8" t="str">
        <f>IFERROR(IFNA(vlookup(C423,merchants!$A$1:$D$41,2,FALSE),"Merchant not found"), "Merchant not found")</f>
        <v>Merchant_035</v>
      </c>
      <c r="K423" s="8" t="str">
        <f>IFERROR(IFNA(vlookup(C423,merchants!$A$1:$D$41,3,FALSE),"Merchant not found"), "Merchant not found")</f>
        <v>recharge</v>
      </c>
      <c r="L423" s="8" t="str">
        <f>IFERROR(IFNA(vlookup(C423,merchants!$A$1:$D$41,4,FALSE),"Merchant not found"), "Merchant not found")</f>
        <v>East</v>
      </c>
      <c r="M423" s="8">
        <f>IFERROR(IFNA(hlookup(G423,payment_methods!$A$1:$E$2,2,FALSE),"Payment method not found"), "Payment method not found")</f>
        <v>0</v>
      </c>
      <c r="N423" s="8">
        <f t="shared" si="2"/>
        <v>49</v>
      </c>
      <c r="O423" s="8" t="str">
        <f t="shared" si="3"/>
        <v>Normal</v>
      </c>
    </row>
    <row r="424" ht="15.75" customHeight="1">
      <c r="A424" s="3" t="s">
        <v>541</v>
      </c>
      <c r="B424" s="5">
        <v>115.0</v>
      </c>
      <c r="C424" s="5">
        <v>1.0</v>
      </c>
      <c r="D424" s="9">
        <v>46039.19861111111</v>
      </c>
      <c r="E424" s="10">
        <f t="shared" si="1"/>
        <v>46039</v>
      </c>
      <c r="F424" s="5">
        <v>149.0</v>
      </c>
      <c r="G424" s="3" t="s">
        <v>15</v>
      </c>
      <c r="H424" s="3" t="s">
        <v>48</v>
      </c>
      <c r="I424" s="5">
        <v>96.0</v>
      </c>
      <c r="J424" s="8" t="str">
        <f>IFERROR(IFNA(vlookup(C424,merchants!$A$1:$D$41,2,FALSE),"Merchant not found"), "Merchant not found")</f>
        <v>Merchant_001</v>
      </c>
      <c r="K424" s="8" t="str">
        <f>IFERROR(IFNA(vlookup(C424,merchants!$A$1:$D$41,3,FALSE),"Merchant not found"), "Merchant not found")</f>
        <v>ecommerce</v>
      </c>
      <c r="L424" s="8" t="str">
        <f>IFERROR(IFNA(vlookup(C424,merchants!$A$1:$D$41,4,FALSE),"Merchant not found"), "Merchant not found")</f>
        <v>South</v>
      </c>
      <c r="M424" s="8">
        <f>IFERROR(IFNA(hlookup(G424,payment_methods!$A$1:$E$2,2,FALSE),"Payment method not found"), "Payment method not found")</f>
        <v>0.0025</v>
      </c>
      <c r="N424" s="8">
        <f t="shared" si="2"/>
        <v>149</v>
      </c>
      <c r="O424" s="8" t="str">
        <f t="shared" si="3"/>
        <v>Normal</v>
      </c>
    </row>
    <row r="425" ht="15.75" customHeight="1">
      <c r="A425" s="3" t="s">
        <v>542</v>
      </c>
      <c r="B425" s="5">
        <v>345.0</v>
      </c>
      <c r="C425" s="5">
        <v>35.0</v>
      </c>
      <c r="D425" s="9">
        <v>46023.39513888889</v>
      </c>
      <c r="E425" s="10">
        <f t="shared" si="1"/>
        <v>46023</v>
      </c>
      <c r="F425" s="5">
        <v>499.0</v>
      </c>
      <c r="G425" s="3" t="s">
        <v>22</v>
      </c>
      <c r="H425" s="3" t="s">
        <v>48</v>
      </c>
      <c r="I425" s="5">
        <v>54.0</v>
      </c>
      <c r="J425" s="8" t="str">
        <f>IFERROR(IFNA(vlookup(C425,merchants!$A$1:$D$41,2,FALSE),"Merchant not found"), "Merchant not found")</f>
        <v>Merchant_035</v>
      </c>
      <c r="K425" s="8" t="str">
        <f>IFERROR(IFNA(vlookup(C425,merchants!$A$1:$D$41,3,FALSE),"Merchant not found"), "Merchant not found")</f>
        <v>recharge</v>
      </c>
      <c r="L425" s="8" t="str">
        <f>IFERROR(IFNA(vlookup(C425,merchants!$A$1:$D$41,4,FALSE),"Merchant not found"), "Merchant not found")</f>
        <v>East</v>
      </c>
      <c r="M425" s="8">
        <f>IFERROR(IFNA(hlookup(G425,payment_methods!$A$1:$E$2,2,FALSE),"Payment method not found"), "Payment method not found")</f>
        <v>0.01</v>
      </c>
      <c r="N425" s="8">
        <f t="shared" si="2"/>
        <v>798</v>
      </c>
      <c r="O425" s="8" t="str">
        <f t="shared" si="3"/>
        <v>Normal</v>
      </c>
    </row>
    <row r="426" ht="15.75" customHeight="1">
      <c r="A426" s="3" t="s">
        <v>543</v>
      </c>
      <c r="B426" s="5">
        <v>118.0</v>
      </c>
      <c r="C426" s="5">
        <v>16.0</v>
      </c>
      <c r="D426" s="9">
        <v>46040.53611111111</v>
      </c>
      <c r="E426" s="10">
        <f t="shared" si="1"/>
        <v>46040</v>
      </c>
      <c r="F426" s="5">
        <v>49.0</v>
      </c>
      <c r="G426" s="3" t="s">
        <v>20</v>
      </c>
      <c r="H426" s="3" t="s">
        <v>48</v>
      </c>
      <c r="I426" s="5">
        <v>58.0</v>
      </c>
      <c r="J426" s="8" t="str">
        <f>IFERROR(IFNA(vlookup(C426,merchants!$A$1:$D$41,2,FALSE),"Merchant not found"), "Merchant not found")</f>
        <v>Merchant_016</v>
      </c>
      <c r="K426" s="8" t="str">
        <f>IFERROR(IFNA(vlookup(C426,merchants!$A$1:$D$41,3,FALSE),"Merchant not found"), "Merchant not found")</f>
        <v>bill_payment</v>
      </c>
      <c r="L426" s="8" t="str">
        <f>IFERROR(IFNA(vlookup(C426,merchants!$A$1:$D$41,4,FALSE),"Merchant not found"), "Merchant not found")</f>
        <v>West</v>
      </c>
      <c r="M426" s="8">
        <f>IFERROR(IFNA(hlookup(G426,payment_methods!$A$1:$E$2,2,FALSE),"Payment method not found"), "Payment method not found")</f>
        <v>0</v>
      </c>
      <c r="N426" s="8">
        <f t="shared" si="2"/>
        <v>49</v>
      </c>
      <c r="O426" s="8" t="str">
        <f t="shared" si="3"/>
        <v>Normal</v>
      </c>
    </row>
    <row r="427" ht="15.75" customHeight="1">
      <c r="A427" s="3" t="s">
        <v>544</v>
      </c>
      <c r="B427" s="5">
        <v>97.0</v>
      </c>
      <c r="C427" s="5">
        <v>8.0</v>
      </c>
      <c r="D427" s="9">
        <v>46034.17847222222</v>
      </c>
      <c r="E427" s="10">
        <f t="shared" si="1"/>
        <v>46034</v>
      </c>
      <c r="F427" s="5">
        <v>99.0</v>
      </c>
      <c r="G427" s="3" t="s">
        <v>25</v>
      </c>
      <c r="H427" s="3" t="s">
        <v>48</v>
      </c>
      <c r="I427" s="5">
        <v>4.0</v>
      </c>
      <c r="J427" s="8" t="str">
        <f>IFERROR(IFNA(vlookup(C427,merchants!$A$1:$D$41,2,FALSE),"Merchant not found"), "Merchant not found")</f>
        <v>Merchant_008</v>
      </c>
      <c r="K427" s="8" t="str">
        <f>IFERROR(IFNA(vlookup(C427,merchants!$A$1:$D$41,3,FALSE),"Merchant not found"), "Merchant not found")</f>
        <v>food_delivery</v>
      </c>
      <c r="L427" s="8" t="str">
        <f>IFERROR(IFNA(vlookup(C427,merchants!$A$1:$D$41,4,FALSE),"Merchant not found"), "Merchant not found")</f>
        <v>North</v>
      </c>
      <c r="M427" s="8">
        <f>IFERROR(IFNA(hlookup(G427,payment_methods!$A$1:$E$2,2,FALSE),"Payment method not found"), "Payment method not found")</f>
        <v>0.005</v>
      </c>
      <c r="N427" s="8">
        <f t="shared" si="2"/>
        <v>398</v>
      </c>
      <c r="O427" s="8" t="str">
        <f t="shared" si="3"/>
        <v>Normal</v>
      </c>
    </row>
    <row r="428" ht="15.75" customHeight="1">
      <c r="A428" s="3" t="s">
        <v>545</v>
      </c>
      <c r="B428" s="5">
        <v>315.0</v>
      </c>
      <c r="C428" s="5">
        <v>2.0</v>
      </c>
      <c r="D428" s="9">
        <v>46048.893055555556</v>
      </c>
      <c r="E428" s="10">
        <f t="shared" si="1"/>
        <v>46048</v>
      </c>
      <c r="F428" s="5">
        <v>299.0</v>
      </c>
      <c r="G428" s="3" t="s">
        <v>15</v>
      </c>
      <c r="H428" s="3" t="s">
        <v>48</v>
      </c>
      <c r="I428" s="5">
        <v>30.0</v>
      </c>
      <c r="J428" s="8" t="str">
        <f>IFERROR(IFNA(vlookup(C428,merchants!$A$1:$D$41,2,FALSE),"Merchant not found"), "Merchant not found")</f>
        <v>Merchant_002</v>
      </c>
      <c r="K428" s="8" t="str">
        <f>IFERROR(IFNA(vlookup(C428,merchants!$A$1:$D$41,3,FALSE),"Merchant not found"), "Merchant not found")</f>
        <v>grocery</v>
      </c>
      <c r="L428" s="8" t="str">
        <f>IFERROR(IFNA(vlookup(C428,merchants!$A$1:$D$41,4,FALSE),"Merchant not found"), "Merchant not found")</f>
        <v>West</v>
      </c>
      <c r="M428" s="8">
        <f>IFERROR(IFNA(hlookup(G428,payment_methods!$A$1:$E$2,2,FALSE),"Payment method not found"), "Payment method not found")</f>
        <v>0.0025</v>
      </c>
      <c r="N428" s="8">
        <f t="shared" si="2"/>
        <v>299</v>
      </c>
      <c r="O428" s="8" t="str">
        <f t="shared" si="3"/>
        <v>Normal</v>
      </c>
    </row>
    <row r="429" ht="15.75" customHeight="1">
      <c r="A429" s="3" t="s">
        <v>546</v>
      </c>
      <c r="B429" s="5">
        <v>305.0</v>
      </c>
      <c r="C429" s="5">
        <v>3.0</v>
      </c>
      <c r="D429" s="9">
        <v>46029.0875</v>
      </c>
      <c r="E429" s="10">
        <f t="shared" si="1"/>
        <v>46029</v>
      </c>
      <c r="F429" s="5">
        <v>299.0</v>
      </c>
      <c r="G429" s="3" t="s">
        <v>20</v>
      </c>
      <c r="H429" s="3" t="s">
        <v>48</v>
      </c>
      <c r="I429" s="5">
        <v>57.0</v>
      </c>
      <c r="J429" s="8" t="str">
        <f>IFERROR(IFNA(vlookup(C429,merchants!$A$1:$D$41,2,FALSE),"Merchant not found"), "Merchant not found")</f>
        <v>Merchant_003</v>
      </c>
      <c r="K429" s="8" t="str">
        <f>IFERROR(IFNA(vlookup(C429,merchants!$A$1:$D$41,3,FALSE),"Merchant not found"), "Merchant not found")</f>
        <v>grocery</v>
      </c>
      <c r="L429" s="8" t="str">
        <f>IFERROR(IFNA(vlookup(C429,merchants!$A$1:$D$41,4,FALSE),"Merchant not found"), "Merchant not found")</f>
        <v>East</v>
      </c>
      <c r="M429" s="8">
        <f>IFERROR(IFNA(hlookup(G429,payment_methods!$A$1:$E$2,2,FALSE),"Payment method not found"), "Payment method not found")</f>
        <v>0</v>
      </c>
      <c r="N429" s="8">
        <f t="shared" si="2"/>
        <v>798</v>
      </c>
      <c r="O429" s="8" t="str">
        <f t="shared" si="3"/>
        <v>Normal</v>
      </c>
    </row>
    <row r="430" ht="15.75" customHeight="1">
      <c r="A430" s="3" t="s">
        <v>547</v>
      </c>
      <c r="B430" s="5">
        <v>25.0</v>
      </c>
      <c r="C430" s="5">
        <v>16.0</v>
      </c>
      <c r="D430" s="9">
        <v>46042.90625</v>
      </c>
      <c r="E430" s="10">
        <f t="shared" si="1"/>
        <v>46042</v>
      </c>
      <c r="F430" s="5">
        <v>299.0</v>
      </c>
      <c r="G430" s="3" t="s">
        <v>20</v>
      </c>
      <c r="H430" s="3" t="s">
        <v>48</v>
      </c>
      <c r="I430" s="5">
        <v>94.0</v>
      </c>
      <c r="J430" s="8" t="str">
        <f>IFERROR(IFNA(vlookup(C430,merchants!$A$1:$D$41,2,FALSE),"Merchant not found"), "Merchant not found")</f>
        <v>Merchant_016</v>
      </c>
      <c r="K430" s="8" t="str">
        <f>IFERROR(IFNA(vlookup(C430,merchants!$A$1:$D$41,3,FALSE),"Merchant not found"), "Merchant not found")</f>
        <v>bill_payment</v>
      </c>
      <c r="L430" s="8" t="str">
        <f>IFERROR(IFNA(vlookup(C430,merchants!$A$1:$D$41,4,FALSE),"Merchant not found"), "Merchant not found")</f>
        <v>West</v>
      </c>
      <c r="M430" s="8">
        <f>IFERROR(IFNA(hlookup(G430,payment_methods!$A$1:$E$2,2,FALSE),"Payment method not found"), "Payment method not found")</f>
        <v>0</v>
      </c>
      <c r="N430" s="8">
        <f t="shared" si="2"/>
        <v>448</v>
      </c>
      <c r="O430" s="8" t="str">
        <f t="shared" si="3"/>
        <v>Normal</v>
      </c>
    </row>
    <row r="431" ht="15.75" customHeight="1">
      <c r="A431" s="3" t="s">
        <v>548</v>
      </c>
      <c r="B431" s="5">
        <v>120.0</v>
      </c>
      <c r="C431" s="5">
        <v>35.0</v>
      </c>
      <c r="D431" s="9">
        <v>46024.51944444444</v>
      </c>
      <c r="E431" s="10">
        <f t="shared" si="1"/>
        <v>46024</v>
      </c>
      <c r="F431" s="5">
        <v>49.0</v>
      </c>
      <c r="G431" s="3" t="s">
        <v>20</v>
      </c>
      <c r="H431" s="3" t="s">
        <v>48</v>
      </c>
      <c r="I431" s="5">
        <v>27.0</v>
      </c>
      <c r="J431" s="8" t="str">
        <f>IFERROR(IFNA(vlookup(C431,merchants!$A$1:$D$41,2,FALSE),"Merchant not found"), "Merchant not found")</f>
        <v>Merchant_035</v>
      </c>
      <c r="K431" s="8" t="str">
        <f>IFERROR(IFNA(vlookup(C431,merchants!$A$1:$D$41,3,FALSE),"Merchant not found"), "Merchant not found")</f>
        <v>recharge</v>
      </c>
      <c r="L431" s="8" t="str">
        <f>IFERROR(IFNA(vlookup(C431,merchants!$A$1:$D$41,4,FALSE),"Merchant not found"), "Merchant not found")</f>
        <v>East</v>
      </c>
      <c r="M431" s="8">
        <f>IFERROR(IFNA(hlookup(G431,payment_methods!$A$1:$E$2,2,FALSE),"Payment method not found"), "Payment method not found")</f>
        <v>0</v>
      </c>
      <c r="N431" s="8">
        <f t="shared" si="2"/>
        <v>1847</v>
      </c>
      <c r="O431" s="8" t="str">
        <f t="shared" si="3"/>
        <v>Normal</v>
      </c>
    </row>
    <row r="432" ht="15.75" customHeight="1">
      <c r="A432" s="3" t="s">
        <v>549</v>
      </c>
      <c r="B432" s="5">
        <v>258.0</v>
      </c>
      <c r="C432" s="5">
        <v>19.0</v>
      </c>
      <c r="D432" s="9">
        <v>46047.04722222222</v>
      </c>
      <c r="E432" s="10">
        <f t="shared" si="1"/>
        <v>46047</v>
      </c>
      <c r="F432" s="5">
        <v>49.0</v>
      </c>
      <c r="G432" s="3" t="s">
        <v>15</v>
      </c>
      <c r="H432" s="3" t="s">
        <v>48</v>
      </c>
      <c r="I432" s="5">
        <v>29.0</v>
      </c>
      <c r="J432" s="8" t="str">
        <f>IFERROR(IFNA(vlookup(C432,merchants!$A$1:$D$41,2,FALSE),"Merchant not found"), "Merchant not found")</f>
        <v>Merchant_019</v>
      </c>
      <c r="K432" s="8" t="str">
        <f>IFERROR(IFNA(vlookup(C432,merchants!$A$1:$D$41,3,FALSE),"Merchant not found"), "Merchant not found")</f>
        <v>grocery</v>
      </c>
      <c r="L432" s="8" t="str">
        <f>IFERROR(IFNA(vlookup(C432,merchants!$A$1:$D$41,4,FALSE),"Merchant not found"), "Merchant not found")</f>
        <v>North</v>
      </c>
      <c r="M432" s="8">
        <f>IFERROR(IFNA(hlookup(G432,payment_methods!$A$1:$E$2,2,FALSE),"Payment method not found"), "Payment method not found")</f>
        <v>0.0025</v>
      </c>
      <c r="N432" s="8">
        <f t="shared" si="2"/>
        <v>49</v>
      </c>
      <c r="O432" s="8" t="str">
        <f t="shared" si="3"/>
        <v>Normal</v>
      </c>
    </row>
    <row r="433" ht="15.75" customHeight="1">
      <c r="A433" s="3" t="s">
        <v>550</v>
      </c>
      <c r="B433" s="5">
        <v>164.0</v>
      </c>
      <c r="C433" s="5">
        <v>37.0</v>
      </c>
      <c r="D433" s="9">
        <v>46049.98333333333</v>
      </c>
      <c r="E433" s="10">
        <f t="shared" si="1"/>
        <v>46049</v>
      </c>
      <c r="F433" s="5">
        <v>799.0</v>
      </c>
      <c r="G433" s="3" t="s">
        <v>20</v>
      </c>
      <c r="H433" s="3" t="s">
        <v>48</v>
      </c>
      <c r="I433" s="5">
        <v>76.0</v>
      </c>
      <c r="J433" s="8" t="str">
        <f>IFERROR(IFNA(vlookup(C433,merchants!$A$1:$D$41,2,FALSE),"Merchant not found"), "Merchant not found")</f>
        <v>Merchant_037</v>
      </c>
      <c r="K433" s="8" t="str">
        <f>IFERROR(IFNA(vlookup(C433,merchants!$A$1:$D$41,3,FALSE),"Merchant not found"), "Merchant not found")</f>
        <v>entertainment</v>
      </c>
      <c r="L433" s="8" t="str">
        <f>IFERROR(IFNA(vlookup(C433,merchants!$A$1:$D$41,4,FALSE),"Merchant not found"), "Merchant not found")</f>
        <v>South</v>
      </c>
      <c r="M433" s="8">
        <f>IFERROR(IFNA(hlookup(G433,payment_methods!$A$1:$E$2,2,FALSE),"Payment method not found"), "Payment method not found")</f>
        <v>0</v>
      </c>
      <c r="N433" s="8">
        <f t="shared" si="2"/>
        <v>799</v>
      </c>
      <c r="O433" s="8" t="str">
        <f t="shared" si="3"/>
        <v>Normal</v>
      </c>
    </row>
    <row r="434" ht="15.75" customHeight="1">
      <c r="A434" s="3" t="s">
        <v>551</v>
      </c>
      <c r="B434" s="5">
        <v>165.0</v>
      </c>
      <c r="C434" s="5">
        <v>16.0</v>
      </c>
      <c r="D434" s="9">
        <v>46047.91111111111</v>
      </c>
      <c r="E434" s="10">
        <f t="shared" si="1"/>
        <v>46047</v>
      </c>
      <c r="F434" s="5">
        <v>49.0</v>
      </c>
      <c r="G434" s="3" t="s">
        <v>15</v>
      </c>
      <c r="H434" s="3" t="s">
        <v>48</v>
      </c>
      <c r="I434" s="5">
        <v>38.0</v>
      </c>
      <c r="J434" s="8" t="str">
        <f>IFERROR(IFNA(vlookup(C434,merchants!$A$1:$D$41,2,FALSE),"Merchant not found"), "Merchant not found")</f>
        <v>Merchant_016</v>
      </c>
      <c r="K434" s="8" t="str">
        <f>IFERROR(IFNA(vlookup(C434,merchants!$A$1:$D$41,3,FALSE),"Merchant not found"), "Merchant not found")</f>
        <v>bill_payment</v>
      </c>
      <c r="L434" s="8" t="str">
        <f>IFERROR(IFNA(vlookup(C434,merchants!$A$1:$D$41,4,FALSE),"Merchant not found"), "Merchant not found")</f>
        <v>West</v>
      </c>
      <c r="M434" s="8">
        <f>IFERROR(IFNA(hlookup(G434,payment_methods!$A$1:$E$2,2,FALSE),"Payment method not found"), "Payment method not found")</f>
        <v>0.0025</v>
      </c>
      <c r="N434" s="8">
        <f t="shared" si="2"/>
        <v>98</v>
      </c>
      <c r="O434" s="8" t="str">
        <f t="shared" si="3"/>
        <v>Normal</v>
      </c>
    </row>
    <row r="435" ht="15.75" customHeight="1">
      <c r="A435" s="3" t="s">
        <v>552</v>
      </c>
      <c r="B435" s="5">
        <v>267.0</v>
      </c>
      <c r="C435" s="5">
        <v>15.0</v>
      </c>
      <c r="D435" s="9">
        <v>46051.19583333333</v>
      </c>
      <c r="E435" s="10">
        <f t="shared" si="1"/>
        <v>46051</v>
      </c>
      <c r="F435" s="5">
        <v>49.0</v>
      </c>
      <c r="G435" s="3" t="s">
        <v>25</v>
      </c>
      <c r="H435" s="3" t="s">
        <v>48</v>
      </c>
      <c r="I435" s="5">
        <v>52.0</v>
      </c>
      <c r="J435" s="8" t="str">
        <f>IFERROR(IFNA(vlookup(C435,merchants!$A$1:$D$41,2,FALSE),"Merchant not found"), "Merchant not found")</f>
        <v>Merchant_015</v>
      </c>
      <c r="K435" s="8" t="str">
        <f>IFERROR(IFNA(vlookup(C435,merchants!$A$1:$D$41,3,FALSE),"Merchant not found"), "Merchant not found")</f>
        <v>travel</v>
      </c>
      <c r="L435" s="8" t="str">
        <f>IFERROR(IFNA(vlookup(C435,merchants!$A$1:$D$41,4,FALSE),"Merchant not found"), "Merchant not found")</f>
        <v>North</v>
      </c>
      <c r="M435" s="8">
        <f>IFERROR(IFNA(hlookup(G435,payment_methods!$A$1:$E$2,2,FALSE),"Payment method not found"), "Payment method not found")</f>
        <v>0.005</v>
      </c>
      <c r="N435" s="8">
        <f t="shared" si="2"/>
        <v>98</v>
      </c>
      <c r="O435" s="8" t="str">
        <f t="shared" si="3"/>
        <v>Normal</v>
      </c>
    </row>
    <row r="436" ht="15.75" customHeight="1">
      <c r="A436" s="3" t="s">
        <v>553</v>
      </c>
      <c r="B436" s="5">
        <v>286.0</v>
      </c>
      <c r="C436" s="5">
        <v>38.0</v>
      </c>
      <c r="D436" s="9">
        <v>46032.33541666667</v>
      </c>
      <c r="E436" s="10">
        <f t="shared" si="1"/>
        <v>46032</v>
      </c>
      <c r="F436" s="5">
        <v>299.0</v>
      </c>
      <c r="G436" s="3" t="s">
        <v>15</v>
      </c>
      <c r="H436" s="3" t="s">
        <v>48</v>
      </c>
      <c r="I436" s="5">
        <v>94.0</v>
      </c>
      <c r="J436" s="8" t="str">
        <f>IFERROR(IFNA(vlookup(C436,merchants!$A$1:$D$41,2,FALSE),"Merchant not found"), "Merchant not found")</f>
        <v>Merchant_038</v>
      </c>
      <c r="K436" s="8" t="str">
        <f>IFERROR(IFNA(vlookup(C436,merchants!$A$1:$D$41,3,FALSE),"Merchant not found"), "Merchant not found")</f>
        <v>grocery</v>
      </c>
      <c r="L436" s="8" t="str">
        <f>IFERROR(IFNA(vlookup(C436,merchants!$A$1:$D$41,4,FALSE),"Merchant not found"), "Merchant not found")</f>
        <v>East</v>
      </c>
      <c r="M436" s="8">
        <f>IFERROR(IFNA(hlookup(G436,payment_methods!$A$1:$E$2,2,FALSE),"Payment method not found"), "Payment method not found")</f>
        <v>0.0025</v>
      </c>
      <c r="N436" s="8">
        <f t="shared" si="2"/>
        <v>398</v>
      </c>
      <c r="O436" s="8" t="str">
        <f t="shared" si="3"/>
        <v>Normal</v>
      </c>
    </row>
    <row r="437" ht="15.75" customHeight="1">
      <c r="A437" s="3" t="s">
        <v>554</v>
      </c>
      <c r="B437" s="5">
        <v>348.0</v>
      </c>
      <c r="C437" s="5">
        <v>28.0</v>
      </c>
      <c r="D437" s="9">
        <v>46052.23611111111</v>
      </c>
      <c r="E437" s="10">
        <f t="shared" si="1"/>
        <v>46052</v>
      </c>
      <c r="F437" s="5">
        <v>499.0</v>
      </c>
      <c r="G437" s="3" t="s">
        <v>22</v>
      </c>
      <c r="H437" s="3" t="s">
        <v>48</v>
      </c>
      <c r="I437" s="5">
        <v>71.0</v>
      </c>
      <c r="J437" s="8" t="str">
        <f>IFERROR(IFNA(vlookup(C437,merchants!$A$1:$D$41,2,FALSE),"Merchant not found"), "Merchant not found")</f>
        <v>Merchant_028</v>
      </c>
      <c r="K437" s="8" t="str">
        <f>IFERROR(IFNA(vlookup(C437,merchants!$A$1:$D$41,3,FALSE),"Merchant not found"), "Merchant not found")</f>
        <v>ecommerce</v>
      </c>
      <c r="L437" s="8" t="str">
        <f>IFERROR(IFNA(vlookup(C437,merchants!$A$1:$D$41,4,FALSE),"Merchant not found"), "Merchant not found")</f>
        <v>South</v>
      </c>
      <c r="M437" s="8">
        <f>IFERROR(IFNA(hlookup(G437,payment_methods!$A$1:$E$2,2,FALSE),"Payment method not found"), "Payment method not found")</f>
        <v>0.01</v>
      </c>
      <c r="N437" s="8">
        <f t="shared" si="2"/>
        <v>499</v>
      </c>
      <c r="O437" s="8" t="str">
        <f t="shared" si="3"/>
        <v>Normal</v>
      </c>
    </row>
    <row r="438" ht="15.75" customHeight="1">
      <c r="A438" s="3" t="s">
        <v>555</v>
      </c>
      <c r="B438" s="5">
        <v>330.0</v>
      </c>
      <c r="C438" s="5">
        <v>25.0</v>
      </c>
      <c r="D438" s="9">
        <v>46038.05694444444</v>
      </c>
      <c r="E438" s="10">
        <f t="shared" si="1"/>
        <v>46038</v>
      </c>
      <c r="F438" s="5">
        <v>799.0</v>
      </c>
      <c r="G438" s="3" t="s">
        <v>20</v>
      </c>
      <c r="H438" s="3" t="s">
        <v>48</v>
      </c>
      <c r="I438" s="5">
        <v>100.0</v>
      </c>
      <c r="J438" s="8" t="str">
        <f>IFERROR(IFNA(vlookup(C438,merchants!$A$1:$D$41,2,FALSE),"Merchant not found"), "Merchant not found")</f>
        <v>Merchant_025</v>
      </c>
      <c r="K438" s="8" t="str">
        <f>IFERROR(IFNA(vlookup(C438,merchants!$A$1:$D$41,3,FALSE),"Merchant not found"), "Merchant not found")</f>
        <v>travel</v>
      </c>
      <c r="L438" s="8" t="str">
        <f>IFERROR(IFNA(vlookup(C438,merchants!$A$1:$D$41,4,FALSE),"Merchant not found"), "Merchant not found")</f>
        <v>South</v>
      </c>
      <c r="M438" s="8">
        <f>IFERROR(IFNA(hlookup(G438,payment_methods!$A$1:$E$2,2,FALSE),"Payment method not found"), "Payment method not found")</f>
        <v>0</v>
      </c>
      <c r="N438" s="8">
        <f t="shared" si="2"/>
        <v>799</v>
      </c>
      <c r="O438" s="8" t="str">
        <f t="shared" si="3"/>
        <v>Normal</v>
      </c>
    </row>
    <row r="439" ht="15.75" customHeight="1">
      <c r="A439" s="3" t="s">
        <v>556</v>
      </c>
      <c r="B439" s="5">
        <v>214.0</v>
      </c>
      <c r="C439" s="5">
        <v>27.0</v>
      </c>
      <c r="D439" s="9">
        <v>46039.447222222225</v>
      </c>
      <c r="E439" s="10">
        <f t="shared" si="1"/>
        <v>46039</v>
      </c>
      <c r="F439" s="5">
        <v>299.0</v>
      </c>
      <c r="G439" s="3" t="s">
        <v>22</v>
      </c>
      <c r="H439" s="3" t="s">
        <v>48</v>
      </c>
      <c r="I439" s="5">
        <v>19.0</v>
      </c>
      <c r="J439" s="8" t="str">
        <f>IFERROR(IFNA(vlookup(C439,merchants!$A$1:$D$41,2,FALSE),"Merchant not found"), "Merchant not found")</f>
        <v>Merchant_027</v>
      </c>
      <c r="K439" s="8" t="str">
        <f>IFERROR(IFNA(vlookup(C439,merchants!$A$1:$D$41,3,FALSE),"Merchant not found"), "Merchant not found")</f>
        <v>ecommerce</v>
      </c>
      <c r="L439" s="8" t="str">
        <f>IFERROR(IFNA(vlookup(C439,merchants!$A$1:$D$41,4,FALSE),"Merchant not found"), "Merchant not found")</f>
        <v>North</v>
      </c>
      <c r="M439" s="8">
        <f>IFERROR(IFNA(hlookup(G439,payment_methods!$A$1:$E$2,2,FALSE),"Payment method not found"), "Payment method not found")</f>
        <v>0.01</v>
      </c>
      <c r="N439" s="8">
        <f t="shared" si="2"/>
        <v>1597</v>
      </c>
      <c r="O439" s="8" t="str">
        <f t="shared" si="3"/>
        <v>Normal</v>
      </c>
    </row>
    <row r="440" ht="15.75" customHeight="1">
      <c r="A440" s="3" t="s">
        <v>557</v>
      </c>
      <c r="B440" s="5">
        <v>276.0</v>
      </c>
      <c r="C440" s="5">
        <v>31.0</v>
      </c>
      <c r="D440" s="9">
        <v>46032.50763888889</v>
      </c>
      <c r="E440" s="10">
        <f t="shared" si="1"/>
        <v>46032</v>
      </c>
      <c r="F440" s="5">
        <v>499.0</v>
      </c>
      <c r="G440" s="3" t="s">
        <v>20</v>
      </c>
      <c r="H440" s="3" t="s">
        <v>48</v>
      </c>
      <c r="I440" s="5">
        <v>30.0</v>
      </c>
      <c r="J440" s="8" t="str">
        <f>IFERROR(IFNA(vlookup(C440,merchants!$A$1:$D$41,2,FALSE),"Merchant not found"), "Merchant not found")</f>
        <v>Merchant_031</v>
      </c>
      <c r="K440" s="8" t="str">
        <f>IFERROR(IFNA(vlookup(C440,merchants!$A$1:$D$41,3,FALSE),"Merchant not found"), "Merchant not found")</f>
        <v>bill_payment</v>
      </c>
      <c r="L440" s="8" t="str">
        <f>IFERROR(IFNA(vlookup(C440,merchants!$A$1:$D$41,4,FALSE),"Merchant not found"), "Merchant not found")</f>
        <v>East</v>
      </c>
      <c r="M440" s="8">
        <f>IFERROR(IFNA(hlookup(G440,payment_methods!$A$1:$E$2,2,FALSE),"Payment method not found"), "Payment method not found")</f>
        <v>0</v>
      </c>
      <c r="N440" s="8">
        <f t="shared" si="2"/>
        <v>499</v>
      </c>
      <c r="O440" s="8" t="str">
        <f t="shared" si="3"/>
        <v>Normal</v>
      </c>
    </row>
    <row r="441" ht="15.75" customHeight="1">
      <c r="A441" s="3" t="s">
        <v>558</v>
      </c>
      <c r="B441" s="5">
        <v>74.0</v>
      </c>
      <c r="C441" s="5">
        <v>30.0</v>
      </c>
      <c r="D441" s="9">
        <v>46050.30486111111</v>
      </c>
      <c r="E441" s="10">
        <f t="shared" si="1"/>
        <v>46050</v>
      </c>
      <c r="F441" s="5">
        <v>49.0</v>
      </c>
      <c r="G441" s="3" t="s">
        <v>20</v>
      </c>
      <c r="H441" s="3" t="s">
        <v>48</v>
      </c>
      <c r="I441" s="5">
        <v>7.0</v>
      </c>
      <c r="J441" s="8" t="str">
        <f>IFERROR(IFNA(vlookup(C441,merchants!$A$1:$D$41,2,FALSE),"Merchant not found"), "Merchant not found")</f>
        <v>Merchant_030</v>
      </c>
      <c r="K441" s="8" t="str">
        <f>IFERROR(IFNA(vlookup(C441,merchants!$A$1:$D$41,3,FALSE),"Merchant not found"), "Merchant not found")</f>
        <v>travel</v>
      </c>
      <c r="L441" s="8" t="str">
        <f>IFERROR(IFNA(vlookup(C441,merchants!$A$1:$D$41,4,FALSE),"Merchant not found"), "Merchant not found")</f>
        <v>West</v>
      </c>
      <c r="M441" s="8">
        <f>IFERROR(IFNA(hlookup(G441,payment_methods!$A$1:$E$2,2,FALSE),"Payment method not found"), "Payment method not found")</f>
        <v>0</v>
      </c>
      <c r="N441" s="8">
        <f t="shared" si="2"/>
        <v>49</v>
      </c>
      <c r="O441" s="8" t="str">
        <f t="shared" si="3"/>
        <v>Normal</v>
      </c>
    </row>
    <row r="442" ht="15.75" customHeight="1">
      <c r="A442" s="3" t="s">
        <v>559</v>
      </c>
      <c r="B442" s="5">
        <v>286.0</v>
      </c>
      <c r="C442" s="5">
        <v>34.0</v>
      </c>
      <c r="D442" s="9">
        <v>46040.55972222222</v>
      </c>
      <c r="E442" s="10">
        <f t="shared" si="1"/>
        <v>46040</v>
      </c>
      <c r="F442" s="5">
        <v>49.0</v>
      </c>
      <c r="G442" s="3" t="s">
        <v>22</v>
      </c>
      <c r="H442" s="3" t="s">
        <v>48</v>
      </c>
      <c r="I442" s="5">
        <v>17.0</v>
      </c>
      <c r="J442" s="8" t="str">
        <f>IFERROR(IFNA(vlookup(C442,merchants!$A$1:$D$41,2,FALSE),"Merchant not found"), "Merchant not found")</f>
        <v>Merchant_034</v>
      </c>
      <c r="K442" s="8" t="str">
        <f>IFERROR(IFNA(vlookup(C442,merchants!$A$1:$D$41,3,FALSE),"Merchant not found"), "Merchant not found")</f>
        <v>travel</v>
      </c>
      <c r="L442" s="8" t="str">
        <f>IFERROR(IFNA(vlookup(C442,merchants!$A$1:$D$41,4,FALSE),"Merchant not found"), "Merchant not found")</f>
        <v>South</v>
      </c>
      <c r="M442" s="8">
        <f>IFERROR(IFNA(hlookup(G442,payment_methods!$A$1:$E$2,2,FALSE),"Payment method not found"), "Payment method not found")</f>
        <v>0.01</v>
      </c>
      <c r="N442" s="8">
        <f t="shared" si="2"/>
        <v>148</v>
      </c>
      <c r="O442" s="8" t="str">
        <f t="shared" si="3"/>
        <v>Normal</v>
      </c>
    </row>
    <row r="443" ht="15.75" customHeight="1">
      <c r="A443" s="3" t="s">
        <v>560</v>
      </c>
      <c r="B443" s="5">
        <v>105.0</v>
      </c>
      <c r="C443" s="5">
        <v>22.0</v>
      </c>
      <c r="D443" s="9">
        <v>46035.302777777775</v>
      </c>
      <c r="E443" s="10">
        <f t="shared" si="1"/>
        <v>46035</v>
      </c>
      <c r="F443" s="5">
        <v>4999.0</v>
      </c>
      <c r="G443" s="3" t="s">
        <v>20</v>
      </c>
      <c r="H443" s="3" t="s">
        <v>48</v>
      </c>
      <c r="I443" s="5">
        <v>82.0</v>
      </c>
      <c r="J443" s="8" t="str">
        <f>IFERROR(IFNA(vlookup(C443,merchants!$A$1:$D$41,2,FALSE),"Merchant not found"), "Merchant not found")</f>
        <v>Merchant_022</v>
      </c>
      <c r="K443" s="8" t="str">
        <f>IFERROR(IFNA(vlookup(C443,merchants!$A$1:$D$41,3,FALSE),"Merchant not found"), "Merchant not found")</f>
        <v>travel</v>
      </c>
      <c r="L443" s="8" t="str">
        <f>IFERROR(IFNA(vlookup(C443,merchants!$A$1:$D$41,4,FALSE),"Merchant not found"), "Merchant not found")</f>
        <v>South</v>
      </c>
      <c r="M443" s="8">
        <f>IFERROR(IFNA(hlookup(G443,payment_methods!$A$1:$E$2,2,FALSE),"Payment method not found"), "Payment method not found")</f>
        <v>0</v>
      </c>
      <c r="N443" s="8">
        <f t="shared" si="2"/>
        <v>5798</v>
      </c>
      <c r="O443" s="8" t="str">
        <f t="shared" si="3"/>
        <v>High-Value Merchant Day</v>
      </c>
    </row>
    <row r="444" ht="15.75" customHeight="1">
      <c r="A444" s="3" t="s">
        <v>561</v>
      </c>
      <c r="B444" s="5">
        <v>190.0</v>
      </c>
      <c r="C444" s="5">
        <v>6.0</v>
      </c>
      <c r="D444" s="9">
        <v>46025.620833333334</v>
      </c>
      <c r="E444" s="10">
        <f t="shared" si="1"/>
        <v>46025</v>
      </c>
      <c r="F444" s="5">
        <v>799.0</v>
      </c>
      <c r="G444" s="3" t="s">
        <v>15</v>
      </c>
      <c r="H444" s="3" t="s">
        <v>48</v>
      </c>
      <c r="I444" s="5">
        <v>68.0</v>
      </c>
      <c r="J444" s="8" t="str">
        <f>IFERROR(IFNA(vlookup(C444,merchants!$A$1:$D$41,2,FALSE),"Merchant not found"), "Merchant not found")</f>
        <v>Merchant_006</v>
      </c>
      <c r="K444" s="8" t="str">
        <f>IFERROR(IFNA(vlookup(C444,merchants!$A$1:$D$41,3,FALSE),"Merchant not found"), "Merchant not found")</f>
        <v>food_delivery</v>
      </c>
      <c r="L444" s="8" t="str">
        <f>IFERROR(IFNA(vlookup(C444,merchants!$A$1:$D$41,4,FALSE),"Merchant not found"), "Merchant not found")</f>
        <v>South</v>
      </c>
      <c r="M444" s="8">
        <f>IFERROR(IFNA(hlookup(G444,payment_methods!$A$1:$E$2,2,FALSE),"Payment method not found"), "Payment method not found")</f>
        <v>0.0025</v>
      </c>
      <c r="N444" s="8">
        <f t="shared" si="2"/>
        <v>799</v>
      </c>
      <c r="O444" s="8" t="str">
        <f t="shared" si="3"/>
        <v>Normal</v>
      </c>
    </row>
    <row r="445" ht="15.75" customHeight="1">
      <c r="A445" s="3" t="s">
        <v>562</v>
      </c>
      <c r="B445" s="5">
        <v>138.0</v>
      </c>
      <c r="C445" s="5">
        <v>25.0</v>
      </c>
      <c r="D445" s="9">
        <v>46046.25208333333</v>
      </c>
      <c r="E445" s="10">
        <f t="shared" si="1"/>
        <v>46046</v>
      </c>
      <c r="F445" s="5">
        <v>299.0</v>
      </c>
      <c r="G445" s="3" t="s">
        <v>15</v>
      </c>
      <c r="H445" s="3" t="s">
        <v>48</v>
      </c>
      <c r="I445" s="5">
        <v>86.0</v>
      </c>
      <c r="J445" s="8" t="str">
        <f>IFERROR(IFNA(vlookup(C445,merchants!$A$1:$D$41,2,FALSE),"Merchant not found"), "Merchant not found")</f>
        <v>Merchant_025</v>
      </c>
      <c r="K445" s="8" t="str">
        <f>IFERROR(IFNA(vlookup(C445,merchants!$A$1:$D$41,3,FALSE),"Merchant not found"), "Merchant not found")</f>
        <v>travel</v>
      </c>
      <c r="L445" s="8" t="str">
        <f>IFERROR(IFNA(vlookup(C445,merchants!$A$1:$D$41,4,FALSE),"Merchant not found"), "Merchant not found")</f>
        <v>South</v>
      </c>
      <c r="M445" s="8">
        <f>IFERROR(IFNA(hlookup(G445,payment_methods!$A$1:$E$2,2,FALSE),"Payment method not found"), "Payment method not found")</f>
        <v>0.0025</v>
      </c>
      <c r="N445" s="8">
        <f t="shared" si="2"/>
        <v>497</v>
      </c>
      <c r="O445" s="8" t="str">
        <f t="shared" si="3"/>
        <v>Normal</v>
      </c>
    </row>
    <row r="446" ht="15.75" customHeight="1">
      <c r="A446" s="3" t="s">
        <v>563</v>
      </c>
      <c r="B446" s="5">
        <v>38.0</v>
      </c>
      <c r="C446" s="5">
        <v>13.0</v>
      </c>
      <c r="D446" s="9">
        <v>46042.79305555556</v>
      </c>
      <c r="E446" s="10">
        <f t="shared" si="1"/>
        <v>46042</v>
      </c>
      <c r="F446" s="5">
        <v>4999.0</v>
      </c>
      <c r="G446" s="3" t="s">
        <v>25</v>
      </c>
      <c r="H446" s="3" t="s">
        <v>48</v>
      </c>
      <c r="I446" s="5">
        <v>97.0</v>
      </c>
      <c r="J446" s="8" t="str">
        <f>IFERROR(IFNA(vlookup(C446,merchants!$A$1:$D$41,2,FALSE),"Merchant not found"), "Merchant not found")</f>
        <v>Merchant_013</v>
      </c>
      <c r="K446" s="8" t="str">
        <f>IFERROR(IFNA(vlookup(C446,merchants!$A$1:$D$41,3,FALSE),"Merchant not found"), "Merchant not found")</f>
        <v>travel</v>
      </c>
      <c r="L446" s="8" t="str">
        <f>IFERROR(IFNA(vlookup(C446,merchants!$A$1:$D$41,4,FALSE),"Merchant not found"), "Merchant not found")</f>
        <v>East</v>
      </c>
      <c r="M446" s="8">
        <f>IFERROR(IFNA(hlookup(G446,payment_methods!$A$1:$E$2,2,FALSE),"Payment method not found"), "Payment method not found")</f>
        <v>0.005</v>
      </c>
      <c r="N446" s="8">
        <f t="shared" si="2"/>
        <v>4999</v>
      </c>
      <c r="O446" s="8" t="str">
        <f t="shared" si="3"/>
        <v>Normal</v>
      </c>
    </row>
    <row r="447" ht="15.75" customHeight="1">
      <c r="A447" s="3" t="s">
        <v>564</v>
      </c>
      <c r="B447" s="5">
        <v>287.0</v>
      </c>
      <c r="C447" s="5">
        <v>14.0</v>
      </c>
      <c r="D447" s="9">
        <v>46041.9875</v>
      </c>
      <c r="E447" s="10">
        <f t="shared" si="1"/>
        <v>46041</v>
      </c>
      <c r="F447" s="5">
        <v>99.0</v>
      </c>
      <c r="G447" s="3" t="s">
        <v>15</v>
      </c>
      <c r="H447" s="3" t="s">
        <v>48</v>
      </c>
      <c r="I447" s="5">
        <v>61.0</v>
      </c>
      <c r="J447" s="8" t="str">
        <f>IFERROR(IFNA(vlookup(C447,merchants!$A$1:$D$41,2,FALSE),"Merchant not found"), "Merchant not found")</f>
        <v>Merchant_014</v>
      </c>
      <c r="K447" s="8" t="str">
        <f>IFERROR(IFNA(vlookup(C447,merchants!$A$1:$D$41,3,FALSE),"Merchant not found"), "Merchant not found")</f>
        <v>grocery</v>
      </c>
      <c r="L447" s="8" t="str">
        <f>IFERROR(IFNA(vlookup(C447,merchants!$A$1:$D$41,4,FALSE),"Merchant not found"), "Merchant not found")</f>
        <v>East</v>
      </c>
      <c r="M447" s="8">
        <f>IFERROR(IFNA(hlookup(G447,payment_methods!$A$1:$E$2,2,FALSE),"Payment method not found"), "Payment method not found")</f>
        <v>0.0025</v>
      </c>
      <c r="N447" s="8">
        <f t="shared" si="2"/>
        <v>99</v>
      </c>
      <c r="O447" s="8" t="str">
        <f t="shared" si="3"/>
        <v>Normal</v>
      </c>
    </row>
    <row r="448" ht="15.75" customHeight="1">
      <c r="A448" s="3" t="s">
        <v>565</v>
      </c>
      <c r="B448" s="5">
        <v>8.0</v>
      </c>
      <c r="C448" s="5">
        <v>14.0</v>
      </c>
      <c r="D448" s="9">
        <v>46029.42986111111</v>
      </c>
      <c r="E448" s="10">
        <f t="shared" si="1"/>
        <v>46029</v>
      </c>
      <c r="F448" s="5">
        <v>49.0</v>
      </c>
      <c r="G448" s="3" t="s">
        <v>20</v>
      </c>
      <c r="H448" s="3" t="s">
        <v>48</v>
      </c>
      <c r="I448" s="5">
        <v>24.0</v>
      </c>
      <c r="J448" s="8" t="str">
        <f>IFERROR(IFNA(vlookup(C448,merchants!$A$1:$D$41,2,FALSE),"Merchant not found"), "Merchant not found")</f>
        <v>Merchant_014</v>
      </c>
      <c r="K448" s="8" t="str">
        <f>IFERROR(IFNA(vlookup(C448,merchants!$A$1:$D$41,3,FALSE),"Merchant not found"), "Merchant not found")</f>
        <v>grocery</v>
      </c>
      <c r="L448" s="8" t="str">
        <f>IFERROR(IFNA(vlookup(C448,merchants!$A$1:$D$41,4,FALSE),"Merchant not found"), "Merchant not found")</f>
        <v>East</v>
      </c>
      <c r="M448" s="8">
        <f>IFERROR(IFNA(hlookup(G448,payment_methods!$A$1:$E$2,2,FALSE),"Payment method not found"), "Payment method not found")</f>
        <v>0</v>
      </c>
      <c r="N448" s="8">
        <f t="shared" si="2"/>
        <v>49</v>
      </c>
      <c r="O448" s="8" t="str">
        <f t="shared" si="3"/>
        <v>Normal</v>
      </c>
    </row>
    <row r="449" ht="15.75" customHeight="1">
      <c r="A449" s="3" t="s">
        <v>566</v>
      </c>
      <c r="B449" s="5">
        <v>246.0</v>
      </c>
      <c r="C449" s="5">
        <v>16.0</v>
      </c>
      <c r="D449" s="9">
        <v>46046.157638888886</v>
      </c>
      <c r="E449" s="10">
        <f t="shared" si="1"/>
        <v>46046</v>
      </c>
      <c r="F449" s="5">
        <v>1499.0</v>
      </c>
      <c r="G449" s="3" t="s">
        <v>15</v>
      </c>
      <c r="H449" s="3" t="s">
        <v>48</v>
      </c>
      <c r="I449" s="5">
        <v>89.0</v>
      </c>
      <c r="J449" s="8" t="str">
        <f>IFERROR(IFNA(vlookup(C449,merchants!$A$1:$D$41,2,FALSE),"Merchant not found"), "Merchant not found")</f>
        <v>Merchant_016</v>
      </c>
      <c r="K449" s="8" t="str">
        <f>IFERROR(IFNA(vlookup(C449,merchants!$A$1:$D$41,3,FALSE),"Merchant not found"), "Merchant not found")</f>
        <v>bill_payment</v>
      </c>
      <c r="L449" s="8" t="str">
        <f>IFERROR(IFNA(vlookup(C449,merchants!$A$1:$D$41,4,FALSE),"Merchant not found"), "Merchant not found")</f>
        <v>West</v>
      </c>
      <c r="M449" s="8">
        <f>IFERROR(IFNA(hlookup(G449,payment_methods!$A$1:$E$2,2,FALSE),"Payment method not found"), "Payment method not found")</f>
        <v>0.0025</v>
      </c>
      <c r="N449" s="8">
        <f t="shared" si="2"/>
        <v>1548</v>
      </c>
      <c r="O449" s="8" t="str">
        <f t="shared" si="3"/>
        <v>Normal</v>
      </c>
    </row>
    <row r="450" ht="15.75" customHeight="1">
      <c r="A450" s="3" t="s">
        <v>567</v>
      </c>
      <c r="B450" s="5">
        <v>204.0</v>
      </c>
      <c r="C450" s="5">
        <v>16.0</v>
      </c>
      <c r="D450" s="9">
        <v>46042.92569444444</v>
      </c>
      <c r="E450" s="10">
        <f t="shared" si="1"/>
        <v>46042</v>
      </c>
      <c r="F450" s="5">
        <v>149.0</v>
      </c>
      <c r="G450" s="3" t="s">
        <v>20</v>
      </c>
      <c r="H450" s="3" t="s">
        <v>48</v>
      </c>
      <c r="I450" s="5">
        <v>70.0</v>
      </c>
      <c r="J450" s="8" t="str">
        <f>IFERROR(IFNA(vlookup(C450,merchants!$A$1:$D$41,2,FALSE),"Merchant not found"), "Merchant not found")</f>
        <v>Merchant_016</v>
      </c>
      <c r="K450" s="8" t="str">
        <f>IFERROR(IFNA(vlookup(C450,merchants!$A$1:$D$41,3,FALSE),"Merchant not found"), "Merchant not found")</f>
        <v>bill_payment</v>
      </c>
      <c r="L450" s="8" t="str">
        <f>IFERROR(IFNA(vlookup(C450,merchants!$A$1:$D$41,4,FALSE),"Merchant not found"), "Merchant not found")</f>
        <v>West</v>
      </c>
      <c r="M450" s="8">
        <f>IFERROR(IFNA(hlookup(G450,payment_methods!$A$1:$E$2,2,FALSE),"Payment method not found"), "Payment method not found")</f>
        <v>0</v>
      </c>
      <c r="N450" s="8">
        <f t="shared" si="2"/>
        <v>448</v>
      </c>
      <c r="O450" s="8" t="str">
        <f t="shared" si="3"/>
        <v>Normal</v>
      </c>
    </row>
    <row r="451" ht="15.75" customHeight="1">
      <c r="A451" s="3" t="s">
        <v>568</v>
      </c>
      <c r="B451" s="5">
        <v>239.0</v>
      </c>
      <c r="C451" s="5">
        <v>35.0</v>
      </c>
      <c r="D451" s="9">
        <v>46033.39166666667</v>
      </c>
      <c r="E451" s="10">
        <f t="shared" si="1"/>
        <v>46033</v>
      </c>
      <c r="F451" s="5">
        <v>4999.0</v>
      </c>
      <c r="G451" s="3" t="s">
        <v>20</v>
      </c>
      <c r="H451" s="3" t="s">
        <v>48</v>
      </c>
      <c r="I451" s="5">
        <v>83.0</v>
      </c>
      <c r="J451" s="8" t="str">
        <f>IFERROR(IFNA(vlookup(C451,merchants!$A$1:$D$41,2,FALSE),"Merchant not found"), "Merchant not found")</f>
        <v>Merchant_035</v>
      </c>
      <c r="K451" s="8" t="str">
        <f>IFERROR(IFNA(vlookup(C451,merchants!$A$1:$D$41,3,FALSE),"Merchant not found"), "Merchant not found")</f>
        <v>recharge</v>
      </c>
      <c r="L451" s="8" t="str">
        <f>IFERROR(IFNA(vlookup(C451,merchants!$A$1:$D$41,4,FALSE),"Merchant not found"), "Merchant not found")</f>
        <v>East</v>
      </c>
      <c r="M451" s="8">
        <f>IFERROR(IFNA(hlookup(G451,payment_methods!$A$1:$E$2,2,FALSE),"Payment method not found"), "Payment method not found")</f>
        <v>0</v>
      </c>
      <c r="N451" s="8">
        <f t="shared" si="2"/>
        <v>4999</v>
      </c>
      <c r="O451" s="8" t="str">
        <f t="shared" si="3"/>
        <v>Normal</v>
      </c>
    </row>
    <row r="452" ht="15.75" customHeight="1">
      <c r="A452" s="3" t="s">
        <v>569</v>
      </c>
      <c r="B452" s="5">
        <v>185.0</v>
      </c>
      <c r="C452" s="5">
        <v>33.0</v>
      </c>
      <c r="D452" s="9">
        <v>46034.38611111111</v>
      </c>
      <c r="E452" s="10">
        <f t="shared" si="1"/>
        <v>46034</v>
      </c>
      <c r="F452" s="5">
        <v>299.0</v>
      </c>
      <c r="G452" s="3" t="s">
        <v>20</v>
      </c>
      <c r="H452" s="3" t="s">
        <v>48</v>
      </c>
      <c r="I452" s="5">
        <v>63.0</v>
      </c>
      <c r="J452" s="8" t="str">
        <f>IFERROR(IFNA(vlookup(C452,merchants!$A$1:$D$41,2,FALSE),"Merchant not found"), "Merchant not found")</f>
        <v>Merchant_033</v>
      </c>
      <c r="K452" s="8" t="str">
        <f>IFERROR(IFNA(vlookup(C452,merchants!$A$1:$D$41,3,FALSE),"Merchant not found"), "Merchant not found")</f>
        <v>bill_payment</v>
      </c>
      <c r="L452" s="8" t="str">
        <f>IFERROR(IFNA(vlookup(C452,merchants!$A$1:$D$41,4,FALSE),"Merchant not found"), "Merchant not found")</f>
        <v>East</v>
      </c>
      <c r="M452" s="8">
        <f>IFERROR(IFNA(hlookup(G452,payment_methods!$A$1:$E$2,2,FALSE),"Payment method not found"), "Payment method not found")</f>
        <v>0</v>
      </c>
      <c r="N452" s="8">
        <f t="shared" si="2"/>
        <v>299</v>
      </c>
      <c r="O452" s="8" t="str">
        <f t="shared" si="3"/>
        <v>Normal</v>
      </c>
    </row>
    <row r="453" ht="15.75" customHeight="1">
      <c r="A453" s="3" t="s">
        <v>570</v>
      </c>
      <c r="B453" s="5">
        <v>241.0</v>
      </c>
      <c r="C453" s="5">
        <v>21.0</v>
      </c>
      <c r="D453" s="9">
        <v>46037.160416666666</v>
      </c>
      <c r="E453" s="10">
        <f t="shared" si="1"/>
        <v>46037</v>
      </c>
      <c r="F453" s="5">
        <v>299.0</v>
      </c>
      <c r="G453" s="3" t="s">
        <v>22</v>
      </c>
      <c r="H453" s="3" t="s">
        <v>48</v>
      </c>
      <c r="I453" s="5">
        <v>26.0</v>
      </c>
      <c r="J453" s="8" t="str">
        <f>IFERROR(IFNA(vlookup(C453,merchants!$A$1:$D$41,2,FALSE),"Merchant not found"), "Merchant not found")</f>
        <v>Merchant_021</v>
      </c>
      <c r="K453" s="8" t="str">
        <f>IFERROR(IFNA(vlookup(C453,merchants!$A$1:$D$41,3,FALSE),"Merchant not found"), "Merchant not found")</f>
        <v>food_delivery</v>
      </c>
      <c r="L453" s="8" t="str">
        <f>IFERROR(IFNA(vlookup(C453,merchants!$A$1:$D$41,4,FALSE),"Merchant not found"), "Merchant not found")</f>
        <v>East</v>
      </c>
      <c r="M453" s="8">
        <f>IFERROR(IFNA(hlookup(G453,payment_methods!$A$1:$E$2,2,FALSE),"Payment method not found"), "Payment method not found")</f>
        <v>0.01</v>
      </c>
      <c r="N453" s="8">
        <f t="shared" si="2"/>
        <v>299</v>
      </c>
      <c r="O453" s="8" t="str">
        <f t="shared" si="3"/>
        <v>Normal</v>
      </c>
    </row>
    <row r="454" ht="15.75" customHeight="1">
      <c r="A454" s="3" t="s">
        <v>571</v>
      </c>
      <c r="B454" s="5">
        <v>24.0</v>
      </c>
      <c r="C454" s="5">
        <v>37.0</v>
      </c>
      <c r="D454" s="9">
        <v>46034.43472222222</v>
      </c>
      <c r="E454" s="10">
        <f t="shared" si="1"/>
        <v>46034</v>
      </c>
      <c r="F454" s="5">
        <v>149.0</v>
      </c>
      <c r="G454" s="3" t="s">
        <v>20</v>
      </c>
      <c r="H454" s="3" t="s">
        <v>48</v>
      </c>
      <c r="I454" s="5">
        <v>28.0</v>
      </c>
      <c r="J454" s="8" t="str">
        <f>IFERROR(IFNA(vlookup(C454,merchants!$A$1:$D$41,2,FALSE),"Merchant not found"), "Merchant not found")</f>
        <v>Merchant_037</v>
      </c>
      <c r="K454" s="8" t="str">
        <f>IFERROR(IFNA(vlookup(C454,merchants!$A$1:$D$41,3,FALSE),"Merchant not found"), "Merchant not found")</f>
        <v>entertainment</v>
      </c>
      <c r="L454" s="8" t="str">
        <f>IFERROR(IFNA(vlookup(C454,merchants!$A$1:$D$41,4,FALSE),"Merchant not found"), "Merchant not found")</f>
        <v>South</v>
      </c>
      <c r="M454" s="8">
        <f>IFERROR(IFNA(hlookup(G454,payment_methods!$A$1:$E$2,2,FALSE),"Payment method not found"), "Payment method not found")</f>
        <v>0</v>
      </c>
      <c r="N454" s="8">
        <f t="shared" si="2"/>
        <v>149</v>
      </c>
      <c r="O454" s="8" t="str">
        <f t="shared" si="3"/>
        <v>Normal</v>
      </c>
    </row>
    <row r="455" ht="15.75" customHeight="1">
      <c r="A455" s="3" t="s">
        <v>572</v>
      </c>
      <c r="B455" s="5">
        <v>134.0</v>
      </c>
      <c r="C455" s="5">
        <v>36.0</v>
      </c>
      <c r="D455" s="9">
        <v>46046.16736111111</v>
      </c>
      <c r="E455" s="10">
        <f t="shared" si="1"/>
        <v>46046</v>
      </c>
      <c r="F455" s="5">
        <v>1499.0</v>
      </c>
      <c r="G455" s="3" t="s">
        <v>20</v>
      </c>
      <c r="H455" s="3" t="s">
        <v>48</v>
      </c>
      <c r="I455" s="5">
        <v>74.0</v>
      </c>
      <c r="J455" s="8" t="str">
        <f>IFERROR(IFNA(vlookup(C455,merchants!$A$1:$D$41,2,FALSE),"Merchant not found"), "Merchant not found")</f>
        <v>Merchant_036</v>
      </c>
      <c r="K455" s="8" t="str">
        <f>IFERROR(IFNA(vlookup(C455,merchants!$A$1:$D$41,3,FALSE),"Merchant not found"), "Merchant not found")</f>
        <v>entertainment</v>
      </c>
      <c r="L455" s="8" t="str">
        <f>IFERROR(IFNA(vlookup(C455,merchants!$A$1:$D$41,4,FALSE),"Merchant not found"), "Merchant not found")</f>
        <v>East</v>
      </c>
      <c r="M455" s="8">
        <f>IFERROR(IFNA(hlookup(G455,payment_methods!$A$1:$E$2,2,FALSE),"Payment method not found"), "Payment method not found")</f>
        <v>0</v>
      </c>
      <c r="N455" s="8">
        <f t="shared" si="2"/>
        <v>1647</v>
      </c>
      <c r="O455" s="8" t="str">
        <f t="shared" si="3"/>
        <v>Normal</v>
      </c>
    </row>
    <row r="456" ht="15.75" customHeight="1">
      <c r="A456" s="3" t="s">
        <v>573</v>
      </c>
      <c r="B456" s="5">
        <v>152.0</v>
      </c>
      <c r="C456" s="5">
        <v>10.0</v>
      </c>
      <c r="D456" s="9">
        <v>46041.97638888889</v>
      </c>
      <c r="E456" s="10">
        <f t="shared" si="1"/>
        <v>46041</v>
      </c>
      <c r="F456" s="5">
        <v>499.0</v>
      </c>
      <c r="G456" s="3" t="s">
        <v>15</v>
      </c>
      <c r="H456" s="3" t="s">
        <v>48</v>
      </c>
      <c r="I456" s="5">
        <v>25.0</v>
      </c>
      <c r="J456" s="8" t="str">
        <f>IFERROR(IFNA(vlookup(C456,merchants!$A$1:$D$41,2,FALSE),"Merchant not found"), "Merchant not found")</f>
        <v>Merchant_010</v>
      </c>
      <c r="K456" s="8" t="str">
        <f>IFERROR(IFNA(vlookup(C456,merchants!$A$1:$D$41,3,FALSE),"Merchant not found"), "Merchant not found")</f>
        <v>grocery</v>
      </c>
      <c r="L456" s="8" t="str">
        <f>IFERROR(IFNA(vlookup(C456,merchants!$A$1:$D$41,4,FALSE),"Merchant not found"), "Merchant not found")</f>
        <v>West</v>
      </c>
      <c r="M456" s="8">
        <f>IFERROR(IFNA(hlookup(G456,payment_methods!$A$1:$E$2,2,FALSE),"Payment method not found"), "Payment method not found")</f>
        <v>0.0025</v>
      </c>
      <c r="N456" s="8">
        <f t="shared" si="2"/>
        <v>499</v>
      </c>
      <c r="O456" s="8" t="str">
        <f t="shared" si="3"/>
        <v>Normal</v>
      </c>
    </row>
    <row r="457" ht="15.75" customHeight="1">
      <c r="A457" s="3" t="s">
        <v>574</v>
      </c>
      <c r="B457" s="5">
        <v>292.0</v>
      </c>
      <c r="C457" s="5">
        <v>16.0</v>
      </c>
      <c r="D457" s="9">
        <v>46033.308333333334</v>
      </c>
      <c r="E457" s="10">
        <f t="shared" si="1"/>
        <v>46033</v>
      </c>
      <c r="F457" s="5">
        <v>499.0</v>
      </c>
      <c r="G457" s="3" t="s">
        <v>25</v>
      </c>
      <c r="H457" s="3" t="s">
        <v>48</v>
      </c>
      <c r="I457" s="5">
        <v>63.0</v>
      </c>
      <c r="J457" s="8" t="str">
        <f>IFERROR(IFNA(vlookup(C457,merchants!$A$1:$D$41,2,FALSE),"Merchant not found"), "Merchant not found")</f>
        <v>Merchant_016</v>
      </c>
      <c r="K457" s="8" t="str">
        <f>IFERROR(IFNA(vlookup(C457,merchants!$A$1:$D$41,3,FALSE),"Merchant not found"), "Merchant not found")</f>
        <v>bill_payment</v>
      </c>
      <c r="L457" s="8" t="str">
        <f>IFERROR(IFNA(vlookup(C457,merchants!$A$1:$D$41,4,FALSE),"Merchant not found"), "Merchant not found")</f>
        <v>West</v>
      </c>
      <c r="M457" s="8">
        <f>IFERROR(IFNA(hlookup(G457,payment_methods!$A$1:$E$2,2,FALSE),"Payment method not found"), "Payment method not found")</f>
        <v>0.005</v>
      </c>
      <c r="N457" s="8">
        <f t="shared" si="2"/>
        <v>499</v>
      </c>
      <c r="O457" s="8" t="str">
        <f t="shared" si="3"/>
        <v>Normal</v>
      </c>
    </row>
    <row r="458" ht="15.75" customHeight="1">
      <c r="A458" s="3" t="s">
        <v>575</v>
      </c>
      <c r="B458" s="5">
        <v>173.0</v>
      </c>
      <c r="C458" s="5">
        <v>17.0</v>
      </c>
      <c r="D458" s="9">
        <v>46040.86319444444</v>
      </c>
      <c r="E458" s="10">
        <f t="shared" si="1"/>
        <v>46040</v>
      </c>
      <c r="F458" s="5">
        <v>99.0</v>
      </c>
      <c r="G458" s="3" t="s">
        <v>25</v>
      </c>
      <c r="H458" s="3" t="s">
        <v>48</v>
      </c>
      <c r="I458" s="5">
        <v>97.0</v>
      </c>
      <c r="J458" s="8" t="str">
        <f>IFERROR(IFNA(vlookup(C458,merchants!$A$1:$D$41,2,FALSE),"Merchant not found"), "Merchant not found")</f>
        <v>Merchant_017</v>
      </c>
      <c r="K458" s="8" t="str">
        <f>IFERROR(IFNA(vlookup(C458,merchants!$A$1:$D$41,3,FALSE),"Merchant not found"), "Merchant not found")</f>
        <v>grocery</v>
      </c>
      <c r="L458" s="8" t="str">
        <f>IFERROR(IFNA(vlookup(C458,merchants!$A$1:$D$41,4,FALSE),"Merchant not found"), "Merchant not found")</f>
        <v>North</v>
      </c>
      <c r="M458" s="8">
        <f>IFERROR(IFNA(hlookup(G458,payment_methods!$A$1:$E$2,2,FALSE),"Payment method not found"), "Payment method not found")</f>
        <v>0.005</v>
      </c>
      <c r="N458" s="8">
        <f t="shared" si="2"/>
        <v>198</v>
      </c>
      <c r="O458" s="8" t="str">
        <f t="shared" si="3"/>
        <v>Normal</v>
      </c>
    </row>
    <row r="459" ht="15.75" customHeight="1">
      <c r="A459" s="3" t="s">
        <v>576</v>
      </c>
      <c r="B459" s="5">
        <v>329.0</v>
      </c>
      <c r="C459" s="5">
        <v>32.0</v>
      </c>
      <c r="D459" s="9">
        <v>46049.65694444445</v>
      </c>
      <c r="E459" s="10">
        <f t="shared" si="1"/>
        <v>46049</v>
      </c>
      <c r="F459" s="5">
        <v>1499.0</v>
      </c>
      <c r="G459" s="3" t="s">
        <v>20</v>
      </c>
      <c r="H459" s="3" t="s">
        <v>48</v>
      </c>
      <c r="I459" s="5">
        <v>58.0</v>
      </c>
      <c r="J459" s="8" t="str">
        <f>IFERROR(IFNA(vlookup(C459,merchants!$A$1:$D$41,2,FALSE),"Merchant not found"), "Merchant not found")</f>
        <v>Merchant_032</v>
      </c>
      <c r="K459" s="8" t="str">
        <f>IFERROR(IFNA(vlookup(C459,merchants!$A$1:$D$41,3,FALSE),"Merchant not found"), "Merchant not found")</f>
        <v>food_delivery</v>
      </c>
      <c r="L459" s="8" t="str">
        <f>IFERROR(IFNA(vlookup(C459,merchants!$A$1:$D$41,4,FALSE),"Merchant not found"), "Merchant not found")</f>
        <v>West</v>
      </c>
      <c r="M459" s="8">
        <f>IFERROR(IFNA(hlookup(G459,payment_methods!$A$1:$E$2,2,FALSE),"Payment method not found"), "Payment method not found")</f>
        <v>0</v>
      </c>
      <c r="N459" s="8">
        <f t="shared" si="2"/>
        <v>1499</v>
      </c>
      <c r="O459" s="8" t="str">
        <f t="shared" si="3"/>
        <v>Normal</v>
      </c>
    </row>
    <row r="460" ht="15.75" customHeight="1">
      <c r="A460" s="3" t="s">
        <v>577</v>
      </c>
      <c r="B460" s="5">
        <v>181.0</v>
      </c>
      <c r="C460" s="5">
        <v>11.0</v>
      </c>
      <c r="D460" s="9">
        <v>46028.993055555555</v>
      </c>
      <c r="E460" s="10">
        <f t="shared" si="1"/>
        <v>46028</v>
      </c>
      <c r="F460" s="5">
        <v>1499.0</v>
      </c>
      <c r="G460" s="3" t="s">
        <v>20</v>
      </c>
      <c r="H460" s="3" t="s">
        <v>48</v>
      </c>
      <c r="I460" s="5">
        <v>17.0</v>
      </c>
      <c r="J460" s="8" t="str">
        <f>IFERROR(IFNA(vlookup(C460,merchants!$A$1:$D$41,2,FALSE),"Merchant not found"), "Merchant not found")</f>
        <v>Merchant_011</v>
      </c>
      <c r="K460" s="8" t="str">
        <f>IFERROR(IFNA(vlookup(C460,merchants!$A$1:$D$41,3,FALSE),"Merchant not found"), "Merchant not found")</f>
        <v>ecommerce</v>
      </c>
      <c r="L460" s="8" t="str">
        <f>IFERROR(IFNA(vlookup(C460,merchants!$A$1:$D$41,4,FALSE),"Merchant not found"), "Merchant not found")</f>
        <v>North</v>
      </c>
      <c r="M460" s="8">
        <f>IFERROR(IFNA(hlookup(G460,payment_methods!$A$1:$E$2,2,FALSE),"Payment method not found"), "Payment method not found")</f>
        <v>0</v>
      </c>
      <c r="N460" s="8">
        <f t="shared" si="2"/>
        <v>1499</v>
      </c>
      <c r="O460" s="8" t="str">
        <f t="shared" si="3"/>
        <v>Normal</v>
      </c>
    </row>
    <row r="461" ht="15.75" customHeight="1">
      <c r="A461" s="3" t="s">
        <v>578</v>
      </c>
      <c r="B461" s="5">
        <v>95.0</v>
      </c>
      <c r="C461" s="5">
        <v>35.0</v>
      </c>
      <c r="D461" s="9">
        <v>46046.72986111111</v>
      </c>
      <c r="E461" s="10">
        <f t="shared" si="1"/>
        <v>46046</v>
      </c>
      <c r="F461" s="5">
        <v>149.0</v>
      </c>
      <c r="G461" s="3" t="s">
        <v>15</v>
      </c>
      <c r="H461" s="3" t="s">
        <v>48</v>
      </c>
      <c r="I461" s="5">
        <v>82.0</v>
      </c>
      <c r="J461" s="8" t="str">
        <f>IFERROR(IFNA(vlookup(C461,merchants!$A$1:$D$41,2,FALSE),"Merchant not found"), "Merchant not found")</f>
        <v>Merchant_035</v>
      </c>
      <c r="K461" s="8" t="str">
        <f>IFERROR(IFNA(vlookup(C461,merchants!$A$1:$D$41,3,FALSE),"Merchant not found"), "Merchant not found")</f>
        <v>recharge</v>
      </c>
      <c r="L461" s="8" t="str">
        <f>IFERROR(IFNA(vlookup(C461,merchants!$A$1:$D$41,4,FALSE),"Merchant not found"), "Merchant not found")</f>
        <v>East</v>
      </c>
      <c r="M461" s="8">
        <f>IFERROR(IFNA(hlookup(G461,payment_methods!$A$1:$E$2,2,FALSE),"Payment method not found"), "Payment method not found")</f>
        <v>0.0025</v>
      </c>
      <c r="N461" s="8">
        <f t="shared" si="2"/>
        <v>149</v>
      </c>
      <c r="O461" s="8" t="str">
        <f t="shared" si="3"/>
        <v>Normal</v>
      </c>
    </row>
    <row r="462" ht="15.75" customHeight="1">
      <c r="A462" s="3" t="s">
        <v>579</v>
      </c>
      <c r="B462" s="5">
        <v>39.0</v>
      </c>
      <c r="C462" s="5">
        <v>4.0</v>
      </c>
      <c r="D462" s="9">
        <v>46024.66805555556</v>
      </c>
      <c r="E462" s="10">
        <f t="shared" si="1"/>
        <v>46024</v>
      </c>
      <c r="F462" s="5">
        <v>149.0</v>
      </c>
      <c r="G462" s="3" t="s">
        <v>25</v>
      </c>
      <c r="H462" s="3" t="s">
        <v>48</v>
      </c>
      <c r="I462" s="5">
        <v>97.0</v>
      </c>
      <c r="J462" s="8" t="str">
        <f>IFERROR(IFNA(vlookup(C462,merchants!$A$1:$D$41,2,FALSE),"Merchant not found"), "Merchant not found")</f>
        <v>Merchant_004</v>
      </c>
      <c r="K462" s="8" t="str">
        <f>IFERROR(IFNA(vlookup(C462,merchants!$A$1:$D$41,3,FALSE),"Merchant not found"), "Merchant not found")</f>
        <v>ecommerce</v>
      </c>
      <c r="L462" s="8" t="str">
        <f>IFERROR(IFNA(vlookup(C462,merchants!$A$1:$D$41,4,FALSE),"Merchant not found"), "Merchant not found")</f>
        <v>East</v>
      </c>
      <c r="M462" s="8">
        <f>IFERROR(IFNA(hlookup(G462,payment_methods!$A$1:$E$2,2,FALSE),"Payment method not found"), "Payment method not found")</f>
        <v>0.005</v>
      </c>
      <c r="N462" s="8">
        <f t="shared" si="2"/>
        <v>149</v>
      </c>
      <c r="O462" s="8" t="str">
        <f t="shared" si="3"/>
        <v>Normal</v>
      </c>
    </row>
    <row r="463" ht="15.75" customHeight="1">
      <c r="A463" s="3" t="s">
        <v>580</v>
      </c>
      <c r="B463" s="5">
        <v>323.0</v>
      </c>
      <c r="C463" s="5">
        <v>15.0</v>
      </c>
      <c r="D463" s="9">
        <v>46023.54722222222</v>
      </c>
      <c r="E463" s="10">
        <f t="shared" si="1"/>
        <v>46023</v>
      </c>
      <c r="F463" s="5">
        <v>499.0</v>
      </c>
      <c r="G463" s="3" t="s">
        <v>20</v>
      </c>
      <c r="H463" s="3" t="s">
        <v>48</v>
      </c>
      <c r="I463" s="5">
        <v>8.0</v>
      </c>
      <c r="J463" s="8" t="str">
        <f>IFERROR(IFNA(vlookup(C463,merchants!$A$1:$D$41,2,FALSE),"Merchant not found"), "Merchant not found")</f>
        <v>Merchant_015</v>
      </c>
      <c r="K463" s="8" t="str">
        <f>IFERROR(IFNA(vlookup(C463,merchants!$A$1:$D$41,3,FALSE),"Merchant not found"), "Merchant not found")</f>
        <v>travel</v>
      </c>
      <c r="L463" s="8" t="str">
        <f>IFERROR(IFNA(vlookup(C463,merchants!$A$1:$D$41,4,FALSE),"Merchant not found"), "Merchant not found")</f>
        <v>North</v>
      </c>
      <c r="M463" s="8">
        <f>IFERROR(IFNA(hlookup(G463,payment_methods!$A$1:$E$2,2,FALSE),"Payment method not found"), "Payment method not found")</f>
        <v>0</v>
      </c>
      <c r="N463" s="8">
        <f t="shared" si="2"/>
        <v>499</v>
      </c>
      <c r="O463" s="8" t="str">
        <f t="shared" si="3"/>
        <v>Normal</v>
      </c>
    </row>
    <row r="464" ht="15.75" customHeight="1">
      <c r="A464" s="3" t="s">
        <v>581</v>
      </c>
      <c r="B464" s="5">
        <v>112.0</v>
      </c>
      <c r="C464" s="5">
        <v>33.0</v>
      </c>
      <c r="D464" s="9">
        <v>46045.166666666664</v>
      </c>
      <c r="E464" s="10">
        <f t="shared" si="1"/>
        <v>46045</v>
      </c>
      <c r="F464" s="5">
        <v>49.0</v>
      </c>
      <c r="G464" s="3" t="s">
        <v>25</v>
      </c>
      <c r="H464" s="3" t="s">
        <v>48</v>
      </c>
      <c r="I464" s="5">
        <v>58.0</v>
      </c>
      <c r="J464" s="8" t="str">
        <f>IFERROR(IFNA(vlookup(C464,merchants!$A$1:$D$41,2,FALSE),"Merchant not found"), "Merchant not found")</f>
        <v>Merchant_033</v>
      </c>
      <c r="K464" s="8" t="str">
        <f>IFERROR(IFNA(vlookup(C464,merchants!$A$1:$D$41,3,FALSE),"Merchant not found"), "Merchant not found")</f>
        <v>bill_payment</v>
      </c>
      <c r="L464" s="8" t="str">
        <f>IFERROR(IFNA(vlookup(C464,merchants!$A$1:$D$41,4,FALSE),"Merchant not found"), "Merchant not found")</f>
        <v>East</v>
      </c>
      <c r="M464" s="8">
        <f>IFERROR(IFNA(hlookup(G464,payment_methods!$A$1:$E$2,2,FALSE),"Payment method not found"), "Payment method not found")</f>
        <v>0.005</v>
      </c>
      <c r="N464" s="8">
        <f t="shared" si="2"/>
        <v>49</v>
      </c>
      <c r="O464" s="8" t="str">
        <f t="shared" si="3"/>
        <v>Normal</v>
      </c>
    </row>
    <row r="465" ht="15.75" customHeight="1">
      <c r="A465" s="3" t="s">
        <v>582</v>
      </c>
      <c r="B465" s="5">
        <v>327.0</v>
      </c>
      <c r="C465" s="5">
        <v>40.0</v>
      </c>
      <c r="D465" s="9">
        <v>46034.06875</v>
      </c>
      <c r="E465" s="10">
        <f t="shared" si="1"/>
        <v>46034</v>
      </c>
      <c r="F465" s="5">
        <v>99.0</v>
      </c>
      <c r="G465" s="3" t="s">
        <v>20</v>
      </c>
      <c r="H465" s="3" t="s">
        <v>48</v>
      </c>
      <c r="I465" s="5">
        <v>61.0</v>
      </c>
      <c r="J465" s="8" t="str">
        <f>IFERROR(IFNA(vlookup(C465,merchants!$A$1:$D$41,2,FALSE),"Merchant not found"), "Merchant not found")</f>
        <v>Merchant_040</v>
      </c>
      <c r="K465" s="8" t="str">
        <f>IFERROR(IFNA(vlookup(C465,merchants!$A$1:$D$41,3,FALSE),"Merchant not found"), "Merchant not found")</f>
        <v>entertainment</v>
      </c>
      <c r="L465" s="8" t="str">
        <f>IFERROR(IFNA(vlookup(C465,merchants!$A$1:$D$41,4,FALSE),"Merchant not found"), "Merchant not found")</f>
        <v>South</v>
      </c>
      <c r="M465" s="8">
        <f>IFERROR(IFNA(hlookup(G465,payment_methods!$A$1:$E$2,2,FALSE),"Payment method not found"), "Payment method not found")</f>
        <v>0</v>
      </c>
      <c r="N465" s="8">
        <f t="shared" si="2"/>
        <v>99</v>
      </c>
      <c r="O465" s="8" t="str">
        <f t="shared" si="3"/>
        <v>Normal</v>
      </c>
    </row>
    <row r="466" ht="15.75" customHeight="1">
      <c r="A466" s="3" t="s">
        <v>583</v>
      </c>
      <c r="B466" s="5">
        <v>4.0</v>
      </c>
      <c r="C466" s="5">
        <v>35.0</v>
      </c>
      <c r="D466" s="9">
        <v>46044.62569444445</v>
      </c>
      <c r="E466" s="10">
        <f t="shared" si="1"/>
        <v>46044</v>
      </c>
      <c r="F466" s="5">
        <v>299.0</v>
      </c>
      <c r="G466" s="3" t="s">
        <v>20</v>
      </c>
      <c r="H466" s="3" t="s">
        <v>48</v>
      </c>
      <c r="I466" s="5">
        <v>70.0</v>
      </c>
      <c r="J466" s="8" t="str">
        <f>IFERROR(IFNA(vlookup(C466,merchants!$A$1:$D$41,2,FALSE),"Merchant not found"), "Merchant not found")</f>
        <v>Merchant_035</v>
      </c>
      <c r="K466" s="8" t="str">
        <f>IFERROR(IFNA(vlookup(C466,merchants!$A$1:$D$41,3,FALSE),"Merchant not found"), "Merchant not found")</f>
        <v>recharge</v>
      </c>
      <c r="L466" s="8" t="str">
        <f>IFERROR(IFNA(vlookup(C466,merchants!$A$1:$D$41,4,FALSE),"Merchant not found"), "Merchant not found")</f>
        <v>East</v>
      </c>
      <c r="M466" s="8">
        <f>IFERROR(IFNA(hlookup(G466,payment_methods!$A$1:$E$2,2,FALSE),"Payment method not found"), "Payment method not found")</f>
        <v>0</v>
      </c>
      <c r="N466" s="8">
        <f t="shared" si="2"/>
        <v>299</v>
      </c>
      <c r="O466" s="8" t="str">
        <f t="shared" si="3"/>
        <v>Normal</v>
      </c>
    </row>
    <row r="467" ht="15.75" customHeight="1">
      <c r="A467" s="3" t="s">
        <v>584</v>
      </c>
      <c r="B467" s="5">
        <v>272.0</v>
      </c>
      <c r="C467" s="5">
        <v>18.0</v>
      </c>
      <c r="D467" s="9">
        <v>46036.00069444445</v>
      </c>
      <c r="E467" s="10">
        <f t="shared" si="1"/>
        <v>46036</v>
      </c>
      <c r="F467" s="5">
        <v>149.0</v>
      </c>
      <c r="G467" s="3" t="s">
        <v>20</v>
      </c>
      <c r="H467" s="3" t="s">
        <v>48</v>
      </c>
      <c r="I467" s="5">
        <v>68.0</v>
      </c>
      <c r="J467" s="8" t="str">
        <f>IFERROR(IFNA(vlookup(C467,merchants!$A$1:$D$41,2,FALSE),"Merchant not found"), "Merchant not found")</f>
        <v>Merchant_018</v>
      </c>
      <c r="K467" s="8" t="str">
        <f>IFERROR(IFNA(vlookup(C467,merchants!$A$1:$D$41,3,FALSE),"Merchant not found"), "Merchant not found")</f>
        <v>grocery</v>
      </c>
      <c r="L467" s="8" t="str">
        <f>IFERROR(IFNA(vlookup(C467,merchants!$A$1:$D$41,4,FALSE),"Merchant not found"), "Merchant not found")</f>
        <v>West</v>
      </c>
      <c r="M467" s="8">
        <f>IFERROR(IFNA(hlookup(G467,payment_methods!$A$1:$E$2,2,FALSE),"Payment method not found"), "Payment method not found")</f>
        <v>0</v>
      </c>
      <c r="N467" s="8">
        <f t="shared" si="2"/>
        <v>149</v>
      </c>
      <c r="O467" s="8" t="str">
        <f t="shared" si="3"/>
        <v>Normal</v>
      </c>
    </row>
    <row r="468" ht="15.75" customHeight="1">
      <c r="A468" s="3" t="s">
        <v>585</v>
      </c>
      <c r="B468" s="5">
        <v>346.0</v>
      </c>
      <c r="C468" s="5">
        <v>28.0</v>
      </c>
      <c r="D468" s="9">
        <v>46032.02222222222</v>
      </c>
      <c r="E468" s="10">
        <f t="shared" si="1"/>
        <v>46032</v>
      </c>
      <c r="F468" s="5">
        <v>499.0</v>
      </c>
      <c r="G468" s="3" t="s">
        <v>20</v>
      </c>
      <c r="H468" s="3" t="s">
        <v>48</v>
      </c>
      <c r="I468" s="5">
        <v>22.0</v>
      </c>
      <c r="J468" s="8" t="str">
        <f>IFERROR(IFNA(vlookup(C468,merchants!$A$1:$D$41,2,FALSE),"Merchant not found"), "Merchant not found")</f>
        <v>Merchant_028</v>
      </c>
      <c r="K468" s="8" t="str">
        <f>IFERROR(IFNA(vlookup(C468,merchants!$A$1:$D$41,3,FALSE),"Merchant not found"), "Merchant not found")</f>
        <v>ecommerce</v>
      </c>
      <c r="L468" s="8" t="str">
        <f>IFERROR(IFNA(vlookup(C468,merchants!$A$1:$D$41,4,FALSE),"Merchant not found"), "Merchant not found")</f>
        <v>South</v>
      </c>
      <c r="M468" s="8">
        <f>IFERROR(IFNA(hlookup(G468,payment_methods!$A$1:$E$2,2,FALSE),"Payment method not found"), "Payment method not found")</f>
        <v>0</v>
      </c>
      <c r="N468" s="8">
        <f t="shared" si="2"/>
        <v>499</v>
      </c>
      <c r="O468" s="8" t="str">
        <f t="shared" si="3"/>
        <v>Normal</v>
      </c>
    </row>
    <row r="469" ht="15.75" customHeight="1">
      <c r="A469" s="3" t="s">
        <v>586</v>
      </c>
      <c r="B469" s="5">
        <v>77.0</v>
      </c>
      <c r="C469" s="5">
        <v>16.0</v>
      </c>
      <c r="D469" s="9">
        <v>46026.14791666667</v>
      </c>
      <c r="E469" s="10">
        <f t="shared" si="1"/>
        <v>46026</v>
      </c>
      <c r="F469" s="5">
        <v>49.0</v>
      </c>
      <c r="G469" s="3" t="s">
        <v>15</v>
      </c>
      <c r="H469" s="3" t="s">
        <v>48</v>
      </c>
      <c r="I469" s="5">
        <v>24.0</v>
      </c>
      <c r="J469" s="8" t="str">
        <f>IFERROR(IFNA(vlookup(C469,merchants!$A$1:$D$41,2,FALSE),"Merchant not found"), "Merchant not found")</f>
        <v>Merchant_016</v>
      </c>
      <c r="K469" s="8" t="str">
        <f>IFERROR(IFNA(vlookup(C469,merchants!$A$1:$D$41,3,FALSE),"Merchant not found"), "Merchant not found")</f>
        <v>bill_payment</v>
      </c>
      <c r="L469" s="8" t="str">
        <f>IFERROR(IFNA(vlookup(C469,merchants!$A$1:$D$41,4,FALSE),"Merchant not found"), "Merchant not found")</f>
        <v>West</v>
      </c>
      <c r="M469" s="8">
        <f>IFERROR(IFNA(hlookup(G469,payment_methods!$A$1:$E$2,2,FALSE),"Payment method not found"), "Payment method not found")</f>
        <v>0.0025</v>
      </c>
      <c r="N469" s="8">
        <f t="shared" si="2"/>
        <v>49</v>
      </c>
      <c r="O469" s="8" t="str">
        <f t="shared" si="3"/>
        <v>Normal</v>
      </c>
    </row>
    <row r="470" ht="15.75" customHeight="1">
      <c r="A470" s="3" t="s">
        <v>587</v>
      </c>
      <c r="B470" s="5">
        <v>182.0</v>
      </c>
      <c r="C470" s="5">
        <v>18.0</v>
      </c>
      <c r="D470" s="9">
        <v>46042.677777777775</v>
      </c>
      <c r="E470" s="10">
        <f t="shared" si="1"/>
        <v>46042</v>
      </c>
      <c r="F470" s="5">
        <v>149.0</v>
      </c>
      <c r="G470" s="3" t="s">
        <v>22</v>
      </c>
      <c r="H470" s="3" t="s">
        <v>48</v>
      </c>
      <c r="I470" s="5">
        <v>50.0</v>
      </c>
      <c r="J470" s="8" t="str">
        <f>IFERROR(IFNA(vlookup(C470,merchants!$A$1:$D$41,2,FALSE),"Merchant not found"), "Merchant not found")</f>
        <v>Merchant_018</v>
      </c>
      <c r="K470" s="8" t="str">
        <f>IFERROR(IFNA(vlookup(C470,merchants!$A$1:$D$41,3,FALSE),"Merchant not found"), "Merchant not found")</f>
        <v>grocery</v>
      </c>
      <c r="L470" s="8" t="str">
        <f>IFERROR(IFNA(vlookup(C470,merchants!$A$1:$D$41,4,FALSE),"Merchant not found"), "Merchant not found")</f>
        <v>West</v>
      </c>
      <c r="M470" s="8">
        <f>IFERROR(IFNA(hlookup(G470,payment_methods!$A$1:$E$2,2,FALSE),"Payment method not found"), "Payment method not found")</f>
        <v>0.01</v>
      </c>
      <c r="N470" s="8">
        <f t="shared" si="2"/>
        <v>149</v>
      </c>
      <c r="O470" s="8" t="str">
        <f t="shared" si="3"/>
        <v>Normal</v>
      </c>
    </row>
    <row r="471" ht="15.75" customHeight="1">
      <c r="A471" s="3" t="s">
        <v>588</v>
      </c>
      <c r="B471" s="5">
        <v>236.0</v>
      </c>
      <c r="C471" s="5">
        <v>37.0</v>
      </c>
      <c r="D471" s="9">
        <v>46025.475694444445</v>
      </c>
      <c r="E471" s="10">
        <f t="shared" si="1"/>
        <v>46025</v>
      </c>
      <c r="F471" s="5">
        <v>299.0</v>
      </c>
      <c r="G471" s="3" t="s">
        <v>22</v>
      </c>
      <c r="H471" s="3" t="s">
        <v>48</v>
      </c>
      <c r="I471" s="5">
        <v>31.0</v>
      </c>
      <c r="J471" s="8" t="str">
        <f>IFERROR(IFNA(vlookup(C471,merchants!$A$1:$D$41,2,FALSE),"Merchant not found"), "Merchant not found")</f>
        <v>Merchant_037</v>
      </c>
      <c r="K471" s="8" t="str">
        <f>IFERROR(IFNA(vlookup(C471,merchants!$A$1:$D$41,3,FALSE),"Merchant not found"), "Merchant not found")</f>
        <v>entertainment</v>
      </c>
      <c r="L471" s="8" t="str">
        <f>IFERROR(IFNA(vlookup(C471,merchants!$A$1:$D$41,4,FALSE),"Merchant not found"), "Merchant not found")</f>
        <v>South</v>
      </c>
      <c r="M471" s="8">
        <f>IFERROR(IFNA(hlookup(G471,payment_methods!$A$1:$E$2,2,FALSE),"Payment method not found"), "Payment method not found")</f>
        <v>0.01</v>
      </c>
      <c r="N471" s="8">
        <f t="shared" si="2"/>
        <v>299</v>
      </c>
      <c r="O471" s="8" t="str">
        <f t="shared" si="3"/>
        <v>Normal</v>
      </c>
    </row>
    <row r="472" ht="15.75" customHeight="1">
      <c r="A472" s="3" t="s">
        <v>589</v>
      </c>
      <c r="B472" s="5">
        <v>42.0</v>
      </c>
      <c r="C472" s="5">
        <v>3.0</v>
      </c>
      <c r="D472" s="9">
        <v>46045.30486111111</v>
      </c>
      <c r="E472" s="10">
        <f t="shared" si="1"/>
        <v>46045</v>
      </c>
      <c r="F472" s="5">
        <v>49.0</v>
      </c>
      <c r="G472" s="3" t="s">
        <v>20</v>
      </c>
      <c r="H472" s="3" t="s">
        <v>48</v>
      </c>
      <c r="I472" s="5">
        <v>11.0</v>
      </c>
      <c r="J472" s="8" t="str">
        <f>IFERROR(IFNA(vlookup(C472,merchants!$A$1:$D$41,2,FALSE),"Merchant not found"), "Merchant not found")</f>
        <v>Merchant_003</v>
      </c>
      <c r="K472" s="8" t="str">
        <f>IFERROR(IFNA(vlookup(C472,merchants!$A$1:$D$41,3,FALSE),"Merchant not found"), "Merchant not found")</f>
        <v>grocery</v>
      </c>
      <c r="L472" s="8" t="str">
        <f>IFERROR(IFNA(vlookup(C472,merchants!$A$1:$D$41,4,FALSE),"Merchant not found"), "Merchant not found")</f>
        <v>East</v>
      </c>
      <c r="M472" s="8">
        <f>IFERROR(IFNA(hlookup(G472,payment_methods!$A$1:$E$2,2,FALSE),"Payment method not found"), "Payment method not found")</f>
        <v>0</v>
      </c>
      <c r="N472" s="8">
        <f t="shared" si="2"/>
        <v>49</v>
      </c>
      <c r="O472" s="8" t="str">
        <f t="shared" si="3"/>
        <v>Normal</v>
      </c>
    </row>
    <row r="473" ht="15.75" customHeight="1">
      <c r="A473" s="3" t="s">
        <v>590</v>
      </c>
      <c r="B473" s="5">
        <v>283.0</v>
      </c>
      <c r="C473" s="5">
        <v>31.0</v>
      </c>
      <c r="D473" s="9">
        <v>46035.51666666667</v>
      </c>
      <c r="E473" s="10">
        <f t="shared" si="1"/>
        <v>46035</v>
      </c>
      <c r="F473" s="5">
        <v>299.0</v>
      </c>
      <c r="G473" s="3" t="s">
        <v>25</v>
      </c>
      <c r="H473" s="3" t="s">
        <v>48</v>
      </c>
      <c r="I473" s="5">
        <v>7.0</v>
      </c>
      <c r="J473" s="8" t="str">
        <f>IFERROR(IFNA(vlookup(C473,merchants!$A$1:$D$41,2,FALSE),"Merchant not found"), "Merchant not found")</f>
        <v>Merchant_031</v>
      </c>
      <c r="K473" s="8" t="str">
        <f>IFERROR(IFNA(vlookup(C473,merchants!$A$1:$D$41,3,FALSE),"Merchant not found"), "Merchant not found")</f>
        <v>bill_payment</v>
      </c>
      <c r="L473" s="8" t="str">
        <f>IFERROR(IFNA(vlookup(C473,merchants!$A$1:$D$41,4,FALSE),"Merchant not found"), "Merchant not found")</f>
        <v>East</v>
      </c>
      <c r="M473" s="8">
        <f>IFERROR(IFNA(hlookup(G473,payment_methods!$A$1:$E$2,2,FALSE),"Payment method not found"), "Payment method not found")</f>
        <v>0.005</v>
      </c>
      <c r="N473" s="8">
        <f t="shared" si="2"/>
        <v>299</v>
      </c>
      <c r="O473" s="8" t="str">
        <f t="shared" si="3"/>
        <v>Normal</v>
      </c>
    </row>
    <row r="474" ht="15.75" customHeight="1">
      <c r="A474" s="3" t="s">
        <v>591</v>
      </c>
      <c r="B474" s="5">
        <v>88.0</v>
      </c>
      <c r="C474" s="5">
        <v>6.0</v>
      </c>
      <c r="D474" s="9">
        <v>46043.03055555555</v>
      </c>
      <c r="E474" s="10">
        <f t="shared" si="1"/>
        <v>46043</v>
      </c>
      <c r="F474" s="5">
        <v>49.0</v>
      </c>
      <c r="G474" s="3" t="s">
        <v>20</v>
      </c>
      <c r="H474" s="3" t="s">
        <v>48</v>
      </c>
      <c r="I474" s="5">
        <v>63.0</v>
      </c>
      <c r="J474" s="8" t="str">
        <f>IFERROR(IFNA(vlookup(C474,merchants!$A$1:$D$41,2,FALSE),"Merchant not found"), "Merchant not found")</f>
        <v>Merchant_006</v>
      </c>
      <c r="K474" s="8" t="str">
        <f>IFERROR(IFNA(vlookup(C474,merchants!$A$1:$D$41,3,FALSE),"Merchant not found"), "Merchant not found")</f>
        <v>food_delivery</v>
      </c>
      <c r="L474" s="8" t="str">
        <f>IFERROR(IFNA(vlookup(C474,merchants!$A$1:$D$41,4,FALSE),"Merchant not found"), "Merchant not found")</f>
        <v>South</v>
      </c>
      <c r="M474" s="8">
        <f>IFERROR(IFNA(hlookup(G474,payment_methods!$A$1:$E$2,2,FALSE),"Payment method not found"), "Payment method not found")</f>
        <v>0</v>
      </c>
      <c r="N474" s="8">
        <f t="shared" si="2"/>
        <v>49</v>
      </c>
      <c r="O474" s="8" t="str">
        <f t="shared" si="3"/>
        <v>Normal</v>
      </c>
    </row>
    <row r="475" ht="15.75" customHeight="1">
      <c r="A475" s="3" t="s">
        <v>592</v>
      </c>
      <c r="B475" s="5">
        <v>170.0</v>
      </c>
      <c r="C475" s="5">
        <v>37.0</v>
      </c>
      <c r="D475" s="9">
        <v>46050.57013888889</v>
      </c>
      <c r="E475" s="10">
        <f t="shared" si="1"/>
        <v>46050</v>
      </c>
      <c r="F475" s="5">
        <v>99.0</v>
      </c>
      <c r="G475" s="3" t="s">
        <v>20</v>
      </c>
      <c r="H475" s="3" t="s">
        <v>78</v>
      </c>
      <c r="I475" s="5">
        <v>12.0</v>
      </c>
      <c r="J475" s="8" t="str">
        <f>IFERROR(IFNA(vlookup(C475,merchants!$A$1:$D$41,2,FALSE),"Merchant not found"), "Merchant not found")</f>
        <v>Merchant_037</v>
      </c>
      <c r="K475" s="8" t="str">
        <f>IFERROR(IFNA(vlookup(C475,merchants!$A$1:$D$41,3,FALSE),"Merchant not found"), "Merchant not found")</f>
        <v>entertainment</v>
      </c>
      <c r="L475" s="8" t="str">
        <f>IFERROR(IFNA(vlookup(C475,merchants!$A$1:$D$41,4,FALSE),"Merchant not found"), "Merchant not found")</f>
        <v>South</v>
      </c>
      <c r="M475" s="8">
        <f>IFERROR(IFNA(hlookup(G475,payment_methods!$A$1:$E$2,2,FALSE),"Payment method not found"), "Payment method not found")</f>
        <v>0</v>
      </c>
      <c r="N475" s="8">
        <f t="shared" si="2"/>
        <v>697</v>
      </c>
      <c r="O475" s="8" t="str">
        <f t="shared" si="3"/>
        <v>Normal</v>
      </c>
    </row>
    <row r="476" ht="15.75" customHeight="1">
      <c r="A476" s="3" t="s">
        <v>593</v>
      </c>
      <c r="B476" s="5">
        <v>22.0</v>
      </c>
      <c r="C476" s="5">
        <v>15.0</v>
      </c>
      <c r="D476" s="9">
        <v>46051.70694444444</v>
      </c>
      <c r="E476" s="10">
        <f t="shared" si="1"/>
        <v>46051</v>
      </c>
      <c r="F476" s="5">
        <v>49.0</v>
      </c>
      <c r="G476" s="3" t="s">
        <v>25</v>
      </c>
      <c r="H476" s="3" t="s">
        <v>48</v>
      </c>
      <c r="I476" s="5">
        <v>27.0</v>
      </c>
      <c r="J476" s="8" t="str">
        <f>IFERROR(IFNA(vlookup(C476,merchants!$A$1:$D$41,2,FALSE),"Merchant not found"), "Merchant not found")</f>
        <v>Merchant_015</v>
      </c>
      <c r="K476" s="8" t="str">
        <f>IFERROR(IFNA(vlookup(C476,merchants!$A$1:$D$41,3,FALSE),"Merchant not found"), "Merchant not found")</f>
        <v>travel</v>
      </c>
      <c r="L476" s="8" t="str">
        <f>IFERROR(IFNA(vlookup(C476,merchants!$A$1:$D$41,4,FALSE),"Merchant not found"), "Merchant not found")</f>
        <v>North</v>
      </c>
      <c r="M476" s="8">
        <f>IFERROR(IFNA(hlookup(G476,payment_methods!$A$1:$E$2,2,FALSE),"Payment method not found"), "Payment method not found")</f>
        <v>0.005</v>
      </c>
      <c r="N476" s="8">
        <f t="shared" si="2"/>
        <v>98</v>
      </c>
      <c r="O476" s="8" t="str">
        <f t="shared" si="3"/>
        <v>Normal</v>
      </c>
    </row>
    <row r="477" ht="15.75" customHeight="1">
      <c r="A477" s="3" t="s">
        <v>594</v>
      </c>
      <c r="B477" s="5">
        <v>291.0</v>
      </c>
      <c r="C477" s="5">
        <v>31.0</v>
      </c>
      <c r="D477" s="9">
        <v>46051.955555555556</v>
      </c>
      <c r="E477" s="10">
        <f t="shared" si="1"/>
        <v>46051</v>
      </c>
      <c r="F477" s="5">
        <v>49.0</v>
      </c>
      <c r="G477" s="3" t="s">
        <v>25</v>
      </c>
      <c r="H477" s="3" t="s">
        <v>78</v>
      </c>
      <c r="I477" s="5">
        <v>34.0</v>
      </c>
      <c r="J477" s="8" t="str">
        <f>IFERROR(IFNA(vlookup(C477,merchants!$A$1:$D$41,2,FALSE),"Merchant not found"), "Merchant not found")</f>
        <v>Merchant_031</v>
      </c>
      <c r="K477" s="8" t="str">
        <f>IFERROR(IFNA(vlookup(C477,merchants!$A$1:$D$41,3,FALSE),"Merchant not found"), "Merchant not found")</f>
        <v>bill_payment</v>
      </c>
      <c r="L477" s="8" t="str">
        <f>IFERROR(IFNA(vlookup(C477,merchants!$A$1:$D$41,4,FALSE),"Merchant not found"), "Merchant not found")</f>
        <v>East</v>
      </c>
      <c r="M477" s="8">
        <f>IFERROR(IFNA(hlookup(G477,payment_methods!$A$1:$E$2,2,FALSE),"Payment method not found"), "Payment method not found")</f>
        <v>0.005</v>
      </c>
      <c r="N477" s="8">
        <f t="shared" si="2"/>
        <v>49</v>
      </c>
      <c r="O477" s="8" t="str">
        <f t="shared" si="3"/>
        <v>Normal</v>
      </c>
    </row>
    <row r="478" ht="15.75" customHeight="1">
      <c r="A478" s="3" t="s">
        <v>595</v>
      </c>
      <c r="B478" s="5">
        <v>144.0</v>
      </c>
      <c r="C478" s="5">
        <v>35.0</v>
      </c>
      <c r="D478" s="9">
        <v>46024.11319444444</v>
      </c>
      <c r="E478" s="10">
        <f t="shared" si="1"/>
        <v>46024</v>
      </c>
      <c r="F478" s="5">
        <v>1499.0</v>
      </c>
      <c r="G478" s="3" t="s">
        <v>20</v>
      </c>
      <c r="H478" s="3" t="s">
        <v>48</v>
      </c>
      <c r="I478" s="5">
        <v>72.0</v>
      </c>
      <c r="J478" s="8" t="str">
        <f>IFERROR(IFNA(vlookup(C478,merchants!$A$1:$D$41,2,FALSE),"Merchant not found"), "Merchant not found")</f>
        <v>Merchant_035</v>
      </c>
      <c r="K478" s="8" t="str">
        <f>IFERROR(IFNA(vlookup(C478,merchants!$A$1:$D$41,3,FALSE),"Merchant not found"), "Merchant not found")</f>
        <v>recharge</v>
      </c>
      <c r="L478" s="8" t="str">
        <f>IFERROR(IFNA(vlookup(C478,merchants!$A$1:$D$41,4,FALSE),"Merchant not found"), "Merchant not found")</f>
        <v>East</v>
      </c>
      <c r="M478" s="8">
        <f>IFERROR(IFNA(hlookup(G478,payment_methods!$A$1:$E$2,2,FALSE),"Payment method not found"), "Payment method not found")</f>
        <v>0</v>
      </c>
      <c r="N478" s="8">
        <f t="shared" si="2"/>
        <v>1847</v>
      </c>
      <c r="O478" s="8" t="str">
        <f t="shared" si="3"/>
        <v>Normal</v>
      </c>
    </row>
    <row r="479" ht="15.75" customHeight="1">
      <c r="A479" s="3" t="s">
        <v>596</v>
      </c>
      <c r="B479" s="5">
        <v>162.0</v>
      </c>
      <c r="C479" s="5">
        <v>2.0</v>
      </c>
      <c r="D479" s="9">
        <v>46044.049305555556</v>
      </c>
      <c r="E479" s="10">
        <f t="shared" si="1"/>
        <v>46044</v>
      </c>
      <c r="F479" s="5">
        <v>299.0</v>
      </c>
      <c r="G479" s="3" t="s">
        <v>15</v>
      </c>
      <c r="H479" s="3" t="s">
        <v>48</v>
      </c>
      <c r="I479" s="5">
        <v>26.0</v>
      </c>
      <c r="J479" s="8" t="str">
        <f>IFERROR(IFNA(vlookup(C479,merchants!$A$1:$D$41,2,FALSE),"Merchant not found"), "Merchant not found")</f>
        <v>Merchant_002</v>
      </c>
      <c r="K479" s="8" t="str">
        <f>IFERROR(IFNA(vlookup(C479,merchants!$A$1:$D$41,3,FALSE),"Merchant not found"), "Merchant not found")</f>
        <v>grocery</v>
      </c>
      <c r="L479" s="8" t="str">
        <f>IFERROR(IFNA(vlookup(C479,merchants!$A$1:$D$41,4,FALSE),"Merchant not found"), "Merchant not found")</f>
        <v>West</v>
      </c>
      <c r="M479" s="8">
        <f>IFERROR(IFNA(hlookup(G479,payment_methods!$A$1:$E$2,2,FALSE),"Payment method not found"), "Payment method not found")</f>
        <v>0.0025</v>
      </c>
      <c r="N479" s="8">
        <f t="shared" si="2"/>
        <v>299</v>
      </c>
      <c r="O479" s="8" t="str">
        <f t="shared" si="3"/>
        <v>Normal</v>
      </c>
    </row>
    <row r="480" ht="15.75" customHeight="1">
      <c r="A480" s="3" t="s">
        <v>597</v>
      </c>
      <c r="B480" s="5">
        <v>204.0</v>
      </c>
      <c r="C480" s="5">
        <v>5.0</v>
      </c>
      <c r="D480" s="9">
        <v>46041.2</v>
      </c>
      <c r="E480" s="10">
        <f t="shared" si="1"/>
        <v>46041</v>
      </c>
      <c r="F480" s="5">
        <v>49.0</v>
      </c>
      <c r="G480" s="3" t="s">
        <v>20</v>
      </c>
      <c r="H480" s="3" t="s">
        <v>48</v>
      </c>
      <c r="I480" s="5">
        <v>38.0</v>
      </c>
      <c r="J480" s="8" t="str">
        <f>IFERROR(IFNA(vlookup(C480,merchants!$A$1:$D$41,2,FALSE),"Merchant not found"), "Merchant not found")</f>
        <v>Merchant_005</v>
      </c>
      <c r="K480" s="8" t="str">
        <f>IFERROR(IFNA(vlookup(C480,merchants!$A$1:$D$41,3,FALSE),"Merchant not found"), "Merchant not found")</f>
        <v>recharge</v>
      </c>
      <c r="L480" s="8" t="str">
        <f>IFERROR(IFNA(vlookup(C480,merchants!$A$1:$D$41,4,FALSE),"Merchant not found"), "Merchant not found")</f>
        <v>South</v>
      </c>
      <c r="M480" s="8">
        <f>IFERROR(IFNA(hlookup(G480,payment_methods!$A$1:$E$2,2,FALSE),"Payment method not found"), "Payment method not found")</f>
        <v>0</v>
      </c>
      <c r="N480" s="8">
        <f t="shared" si="2"/>
        <v>49</v>
      </c>
      <c r="O480" s="8" t="str">
        <f t="shared" si="3"/>
        <v>Normal</v>
      </c>
    </row>
    <row r="481" ht="15.75" customHeight="1">
      <c r="A481" s="3" t="s">
        <v>598</v>
      </c>
      <c r="B481" s="5">
        <v>291.0</v>
      </c>
      <c r="C481" s="5">
        <v>25.0</v>
      </c>
      <c r="D481" s="9">
        <v>46028.760416666664</v>
      </c>
      <c r="E481" s="10">
        <f t="shared" si="1"/>
        <v>46028</v>
      </c>
      <c r="F481" s="5">
        <v>99.0</v>
      </c>
      <c r="G481" s="3" t="s">
        <v>15</v>
      </c>
      <c r="H481" s="3" t="s">
        <v>48</v>
      </c>
      <c r="I481" s="5">
        <v>86.0</v>
      </c>
      <c r="J481" s="8" t="str">
        <f>IFERROR(IFNA(vlookup(C481,merchants!$A$1:$D$41,2,FALSE),"Merchant not found"), "Merchant not found")</f>
        <v>Merchant_025</v>
      </c>
      <c r="K481" s="8" t="str">
        <f>IFERROR(IFNA(vlookup(C481,merchants!$A$1:$D$41,3,FALSE),"Merchant not found"), "Merchant not found")</f>
        <v>travel</v>
      </c>
      <c r="L481" s="8" t="str">
        <f>IFERROR(IFNA(vlookup(C481,merchants!$A$1:$D$41,4,FALSE),"Merchant not found"), "Merchant not found")</f>
        <v>South</v>
      </c>
      <c r="M481" s="8">
        <f>IFERROR(IFNA(hlookup(G481,payment_methods!$A$1:$E$2,2,FALSE),"Payment method not found"), "Payment method not found")</f>
        <v>0.0025</v>
      </c>
      <c r="N481" s="8">
        <f t="shared" si="2"/>
        <v>898</v>
      </c>
      <c r="O481" s="8" t="str">
        <f t="shared" si="3"/>
        <v>Normal</v>
      </c>
    </row>
    <row r="482" ht="15.75" customHeight="1">
      <c r="A482" s="3" t="s">
        <v>599</v>
      </c>
      <c r="B482" s="5">
        <v>197.0</v>
      </c>
      <c r="C482" s="5">
        <v>9.0</v>
      </c>
      <c r="D482" s="9">
        <v>46051.722916666666</v>
      </c>
      <c r="E482" s="10">
        <f t="shared" si="1"/>
        <v>46051</v>
      </c>
      <c r="F482" s="5">
        <v>49.0</v>
      </c>
      <c r="G482" s="3" t="s">
        <v>15</v>
      </c>
      <c r="H482" s="3" t="s">
        <v>78</v>
      </c>
      <c r="I482" s="5">
        <v>88.0</v>
      </c>
      <c r="J482" s="8" t="str">
        <f>IFERROR(IFNA(vlookup(C482,merchants!$A$1:$D$41,2,FALSE),"Merchant not found"), "Merchant not found")</f>
        <v>Merchant_009</v>
      </c>
      <c r="K482" s="8" t="str">
        <f>IFERROR(IFNA(vlookup(C482,merchants!$A$1:$D$41,3,FALSE),"Merchant not found"), "Merchant not found")</f>
        <v>ecommerce</v>
      </c>
      <c r="L482" s="8" t="str">
        <f>IFERROR(IFNA(vlookup(C482,merchants!$A$1:$D$41,4,FALSE),"Merchant not found"), "Merchant not found")</f>
        <v>North</v>
      </c>
      <c r="M482" s="8">
        <f>IFERROR(IFNA(hlookup(G482,payment_methods!$A$1:$E$2,2,FALSE),"Payment method not found"), "Payment method not found")</f>
        <v>0.0025</v>
      </c>
      <c r="N482" s="8">
        <f t="shared" si="2"/>
        <v>49</v>
      </c>
      <c r="O482" s="8" t="str">
        <f t="shared" si="3"/>
        <v>Normal</v>
      </c>
    </row>
    <row r="483" ht="15.75" customHeight="1">
      <c r="A483" s="3" t="s">
        <v>600</v>
      </c>
      <c r="B483" s="5">
        <v>178.0</v>
      </c>
      <c r="C483" s="5">
        <v>4.0</v>
      </c>
      <c r="D483" s="9">
        <v>46046.10555555556</v>
      </c>
      <c r="E483" s="10">
        <f t="shared" si="1"/>
        <v>46046</v>
      </c>
      <c r="F483" s="5">
        <v>1499.0</v>
      </c>
      <c r="G483" s="3" t="s">
        <v>20</v>
      </c>
      <c r="H483" s="3" t="s">
        <v>48</v>
      </c>
      <c r="I483" s="5">
        <v>12.0</v>
      </c>
      <c r="J483" s="8" t="str">
        <f>IFERROR(IFNA(vlookup(C483,merchants!$A$1:$D$41,2,FALSE),"Merchant not found"), "Merchant not found")</f>
        <v>Merchant_004</v>
      </c>
      <c r="K483" s="8" t="str">
        <f>IFERROR(IFNA(vlookup(C483,merchants!$A$1:$D$41,3,FALSE),"Merchant not found"), "Merchant not found")</f>
        <v>ecommerce</v>
      </c>
      <c r="L483" s="8" t="str">
        <f>IFERROR(IFNA(vlookup(C483,merchants!$A$1:$D$41,4,FALSE),"Merchant not found"), "Merchant not found")</f>
        <v>East</v>
      </c>
      <c r="M483" s="8">
        <f>IFERROR(IFNA(hlookup(G483,payment_methods!$A$1:$E$2,2,FALSE),"Payment method not found"), "Payment method not found")</f>
        <v>0</v>
      </c>
      <c r="N483" s="8">
        <f t="shared" si="2"/>
        <v>1499</v>
      </c>
      <c r="O483" s="8" t="str">
        <f t="shared" si="3"/>
        <v>Normal</v>
      </c>
    </row>
    <row r="484" ht="15.75" customHeight="1">
      <c r="A484" s="3" t="s">
        <v>601</v>
      </c>
      <c r="B484" s="5">
        <v>39.0</v>
      </c>
      <c r="C484" s="5">
        <v>22.0</v>
      </c>
      <c r="D484" s="9">
        <v>46036.32847222222</v>
      </c>
      <c r="E484" s="10">
        <f t="shared" si="1"/>
        <v>46036</v>
      </c>
      <c r="F484" s="5">
        <v>799.0</v>
      </c>
      <c r="G484" s="3" t="s">
        <v>25</v>
      </c>
      <c r="H484" s="3" t="s">
        <v>48</v>
      </c>
      <c r="I484" s="5">
        <v>77.0</v>
      </c>
      <c r="J484" s="8" t="str">
        <f>IFERROR(IFNA(vlookup(C484,merchants!$A$1:$D$41,2,FALSE),"Merchant not found"), "Merchant not found")</f>
        <v>Merchant_022</v>
      </c>
      <c r="K484" s="8" t="str">
        <f>IFERROR(IFNA(vlookup(C484,merchants!$A$1:$D$41,3,FALSE),"Merchant not found"), "Merchant not found")</f>
        <v>travel</v>
      </c>
      <c r="L484" s="8" t="str">
        <f>IFERROR(IFNA(vlookup(C484,merchants!$A$1:$D$41,4,FALSE),"Merchant not found"), "Merchant not found")</f>
        <v>South</v>
      </c>
      <c r="M484" s="8">
        <f>IFERROR(IFNA(hlookup(G484,payment_methods!$A$1:$E$2,2,FALSE),"Payment method not found"), "Payment method not found")</f>
        <v>0.005</v>
      </c>
      <c r="N484" s="8">
        <f t="shared" si="2"/>
        <v>799</v>
      </c>
      <c r="O484" s="8" t="str">
        <f t="shared" si="3"/>
        <v>Normal</v>
      </c>
    </row>
    <row r="485" ht="15.75" customHeight="1">
      <c r="A485" s="3" t="s">
        <v>602</v>
      </c>
      <c r="B485" s="5">
        <v>204.0</v>
      </c>
      <c r="C485" s="5">
        <v>21.0</v>
      </c>
      <c r="D485" s="9">
        <v>46047.81805555556</v>
      </c>
      <c r="E485" s="10">
        <f t="shared" si="1"/>
        <v>46047</v>
      </c>
      <c r="F485" s="5">
        <v>299.0</v>
      </c>
      <c r="G485" s="3" t="s">
        <v>15</v>
      </c>
      <c r="H485" s="3" t="s">
        <v>48</v>
      </c>
      <c r="I485" s="5">
        <v>3.0</v>
      </c>
      <c r="J485" s="8" t="str">
        <f>IFERROR(IFNA(vlookup(C485,merchants!$A$1:$D$41,2,FALSE),"Merchant not found"), "Merchant not found")</f>
        <v>Merchant_021</v>
      </c>
      <c r="K485" s="8" t="str">
        <f>IFERROR(IFNA(vlookup(C485,merchants!$A$1:$D$41,3,FALSE),"Merchant not found"), "Merchant not found")</f>
        <v>food_delivery</v>
      </c>
      <c r="L485" s="8" t="str">
        <f>IFERROR(IFNA(vlookup(C485,merchants!$A$1:$D$41,4,FALSE),"Merchant not found"), "Merchant not found")</f>
        <v>East</v>
      </c>
      <c r="M485" s="8">
        <f>IFERROR(IFNA(hlookup(G485,payment_methods!$A$1:$E$2,2,FALSE),"Payment method not found"), "Payment method not found")</f>
        <v>0.0025</v>
      </c>
      <c r="N485" s="8">
        <f t="shared" si="2"/>
        <v>299</v>
      </c>
      <c r="O485" s="8" t="str">
        <f t="shared" si="3"/>
        <v>Normal</v>
      </c>
    </row>
    <row r="486" ht="15.75" customHeight="1">
      <c r="A486" s="3" t="s">
        <v>603</v>
      </c>
      <c r="B486" s="5">
        <v>231.0</v>
      </c>
      <c r="C486" s="5">
        <v>32.0</v>
      </c>
      <c r="D486" s="9">
        <v>46043.368055555555</v>
      </c>
      <c r="E486" s="10">
        <f t="shared" si="1"/>
        <v>46043</v>
      </c>
      <c r="F486" s="5">
        <v>299.0</v>
      </c>
      <c r="G486" s="3" t="s">
        <v>20</v>
      </c>
      <c r="H486" s="3" t="s">
        <v>48</v>
      </c>
      <c r="I486" s="5">
        <v>29.0</v>
      </c>
      <c r="J486" s="8" t="str">
        <f>IFERROR(IFNA(vlookup(C486,merchants!$A$1:$D$41,2,FALSE),"Merchant not found"), "Merchant not found")</f>
        <v>Merchant_032</v>
      </c>
      <c r="K486" s="8" t="str">
        <f>IFERROR(IFNA(vlookup(C486,merchants!$A$1:$D$41,3,FALSE),"Merchant not found"), "Merchant not found")</f>
        <v>food_delivery</v>
      </c>
      <c r="L486" s="8" t="str">
        <f>IFERROR(IFNA(vlookup(C486,merchants!$A$1:$D$41,4,FALSE),"Merchant not found"), "Merchant not found")</f>
        <v>West</v>
      </c>
      <c r="M486" s="8">
        <f>IFERROR(IFNA(hlookup(G486,payment_methods!$A$1:$E$2,2,FALSE),"Payment method not found"), "Payment method not found")</f>
        <v>0</v>
      </c>
      <c r="N486" s="8">
        <f t="shared" si="2"/>
        <v>348</v>
      </c>
      <c r="O486" s="8" t="str">
        <f t="shared" si="3"/>
        <v>Normal</v>
      </c>
    </row>
    <row r="487" ht="15.75" customHeight="1">
      <c r="A487" s="3" t="s">
        <v>604</v>
      </c>
      <c r="B487" s="5">
        <v>222.0</v>
      </c>
      <c r="C487" s="5">
        <v>12.0</v>
      </c>
      <c r="D487" s="9">
        <v>46034.725</v>
      </c>
      <c r="E487" s="10">
        <f t="shared" si="1"/>
        <v>46034</v>
      </c>
      <c r="F487" s="5">
        <v>499.0</v>
      </c>
      <c r="G487" s="3" t="s">
        <v>15</v>
      </c>
      <c r="H487" s="3" t="s">
        <v>78</v>
      </c>
      <c r="I487" s="5">
        <v>87.0</v>
      </c>
      <c r="J487" s="8" t="str">
        <f>IFERROR(IFNA(vlookup(C487,merchants!$A$1:$D$41,2,FALSE),"Merchant not found"), "Merchant not found")</f>
        <v>Merchant_012</v>
      </c>
      <c r="K487" s="8" t="str">
        <f>IFERROR(IFNA(vlookup(C487,merchants!$A$1:$D$41,3,FALSE),"Merchant not found"), "Merchant not found")</f>
        <v>ecommerce</v>
      </c>
      <c r="L487" s="8" t="str">
        <f>IFERROR(IFNA(vlookup(C487,merchants!$A$1:$D$41,4,FALSE),"Merchant not found"), "Merchant not found")</f>
        <v>East</v>
      </c>
      <c r="M487" s="8">
        <f>IFERROR(IFNA(hlookup(G487,payment_methods!$A$1:$E$2,2,FALSE),"Payment method not found"), "Payment method not found")</f>
        <v>0.0025</v>
      </c>
      <c r="N487" s="8">
        <f t="shared" si="2"/>
        <v>1998</v>
      </c>
      <c r="O487" s="8" t="str">
        <f t="shared" si="3"/>
        <v>Normal</v>
      </c>
    </row>
    <row r="488" ht="15.75" customHeight="1">
      <c r="A488" s="3" t="s">
        <v>605</v>
      </c>
      <c r="B488" s="5">
        <v>44.0</v>
      </c>
      <c r="C488" s="5">
        <v>40.0</v>
      </c>
      <c r="D488" s="9">
        <v>46041.89166666667</v>
      </c>
      <c r="E488" s="10">
        <f t="shared" si="1"/>
        <v>46041</v>
      </c>
      <c r="F488" s="5">
        <v>499.0</v>
      </c>
      <c r="G488" s="3" t="s">
        <v>20</v>
      </c>
      <c r="H488" s="3" t="s">
        <v>48</v>
      </c>
      <c r="I488" s="5">
        <v>37.0</v>
      </c>
      <c r="J488" s="8" t="str">
        <f>IFERROR(IFNA(vlookup(C488,merchants!$A$1:$D$41,2,FALSE),"Merchant not found"), "Merchant not found")</f>
        <v>Merchant_040</v>
      </c>
      <c r="K488" s="8" t="str">
        <f>IFERROR(IFNA(vlookup(C488,merchants!$A$1:$D$41,3,FALSE),"Merchant not found"), "Merchant not found")</f>
        <v>entertainment</v>
      </c>
      <c r="L488" s="8" t="str">
        <f>IFERROR(IFNA(vlookup(C488,merchants!$A$1:$D$41,4,FALSE),"Merchant not found"), "Merchant not found")</f>
        <v>South</v>
      </c>
      <c r="M488" s="8">
        <f>IFERROR(IFNA(hlookup(G488,payment_methods!$A$1:$E$2,2,FALSE),"Payment method not found"), "Payment method not found")</f>
        <v>0</v>
      </c>
      <c r="N488" s="8">
        <f t="shared" si="2"/>
        <v>648</v>
      </c>
      <c r="O488" s="8" t="str">
        <f t="shared" si="3"/>
        <v>Normal</v>
      </c>
    </row>
    <row r="489" ht="15.75" customHeight="1">
      <c r="A489" s="3" t="s">
        <v>606</v>
      </c>
      <c r="B489" s="5">
        <v>38.0</v>
      </c>
      <c r="C489" s="5">
        <v>6.0</v>
      </c>
      <c r="D489" s="9">
        <v>46048.322916666664</v>
      </c>
      <c r="E489" s="10">
        <f t="shared" si="1"/>
        <v>46048</v>
      </c>
      <c r="F489" s="5">
        <v>49.0</v>
      </c>
      <c r="G489" s="3" t="s">
        <v>15</v>
      </c>
      <c r="H489" s="3" t="s">
        <v>48</v>
      </c>
      <c r="I489" s="5">
        <v>34.0</v>
      </c>
      <c r="J489" s="8" t="str">
        <f>IFERROR(IFNA(vlookup(C489,merchants!$A$1:$D$41,2,FALSE),"Merchant not found"), "Merchant not found")</f>
        <v>Merchant_006</v>
      </c>
      <c r="K489" s="8" t="str">
        <f>IFERROR(IFNA(vlookup(C489,merchants!$A$1:$D$41,3,FALSE),"Merchant not found"), "Merchant not found")</f>
        <v>food_delivery</v>
      </c>
      <c r="L489" s="8" t="str">
        <f>IFERROR(IFNA(vlookup(C489,merchants!$A$1:$D$41,4,FALSE),"Merchant not found"), "Merchant not found")</f>
        <v>South</v>
      </c>
      <c r="M489" s="8">
        <f>IFERROR(IFNA(hlookup(G489,payment_methods!$A$1:$E$2,2,FALSE),"Payment method not found"), "Payment method not found")</f>
        <v>0.0025</v>
      </c>
      <c r="N489" s="8">
        <f t="shared" si="2"/>
        <v>897</v>
      </c>
      <c r="O489" s="8" t="str">
        <f t="shared" si="3"/>
        <v>Normal</v>
      </c>
    </row>
    <row r="490" ht="15.75" customHeight="1">
      <c r="A490" s="3" t="s">
        <v>607</v>
      </c>
      <c r="B490" s="5">
        <v>325.0</v>
      </c>
      <c r="C490" s="5">
        <v>10.0</v>
      </c>
      <c r="D490" s="9">
        <v>46027.53125</v>
      </c>
      <c r="E490" s="10">
        <f t="shared" si="1"/>
        <v>46027</v>
      </c>
      <c r="F490" s="5">
        <v>49.0</v>
      </c>
      <c r="G490" s="3" t="s">
        <v>25</v>
      </c>
      <c r="H490" s="3" t="s">
        <v>81</v>
      </c>
      <c r="I490" s="5">
        <v>94.0</v>
      </c>
      <c r="J490" s="8" t="str">
        <f>IFERROR(IFNA(vlookup(C490,merchants!$A$1:$D$41,2,FALSE),"Merchant not found"), "Merchant not found")</f>
        <v>Merchant_010</v>
      </c>
      <c r="K490" s="8" t="str">
        <f>IFERROR(IFNA(vlookup(C490,merchants!$A$1:$D$41,3,FALSE),"Merchant not found"), "Merchant not found")</f>
        <v>grocery</v>
      </c>
      <c r="L490" s="8" t="str">
        <f>IFERROR(IFNA(vlookup(C490,merchants!$A$1:$D$41,4,FALSE),"Merchant not found"), "Merchant not found")</f>
        <v>West</v>
      </c>
      <c r="M490" s="8">
        <f>IFERROR(IFNA(hlookup(G490,payment_methods!$A$1:$E$2,2,FALSE),"Payment method not found"), "Payment method not found")</f>
        <v>0.005</v>
      </c>
      <c r="N490" s="8">
        <f t="shared" si="2"/>
        <v>49</v>
      </c>
      <c r="O490" s="8" t="str">
        <f t="shared" si="3"/>
        <v>Normal</v>
      </c>
    </row>
    <row r="491" ht="15.75" customHeight="1">
      <c r="A491" s="3" t="s">
        <v>608</v>
      </c>
      <c r="B491" s="5">
        <v>55.0</v>
      </c>
      <c r="C491" s="5">
        <v>6.0</v>
      </c>
      <c r="D491" s="9">
        <v>46035.43263888889</v>
      </c>
      <c r="E491" s="10">
        <f t="shared" si="1"/>
        <v>46035</v>
      </c>
      <c r="F491" s="5">
        <v>1499.0</v>
      </c>
      <c r="G491" s="3" t="s">
        <v>22</v>
      </c>
      <c r="H491" s="3" t="s">
        <v>48</v>
      </c>
      <c r="I491" s="5">
        <v>0.0</v>
      </c>
      <c r="J491" s="8" t="str">
        <f>IFERROR(IFNA(vlookup(C491,merchants!$A$1:$D$41,2,FALSE),"Merchant not found"), "Merchant not found")</f>
        <v>Merchant_006</v>
      </c>
      <c r="K491" s="8" t="str">
        <f>IFERROR(IFNA(vlookup(C491,merchants!$A$1:$D$41,3,FALSE),"Merchant not found"), "Merchant not found")</f>
        <v>food_delivery</v>
      </c>
      <c r="L491" s="8" t="str">
        <f>IFERROR(IFNA(vlookup(C491,merchants!$A$1:$D$41,4,FALSE),"Merchant not found"), "Merchant not found")</f>
        <v>South</v>
      </c>
      <c r="M491" s="8">
        <f>IFERROR(IFNA(hlookup(G491,payment_methods!$A$1:$E$2,2,FALSE),"Payment method not found"), "Payment method not found")</f>
        <v>0.01</v>
      </c>
      <c r="N491" s="8">
        <f t="shared" si="2"/>
        <v>1499</v>
      </c>
      <c r="O491" s="8" t="str">
        <f t="shared" si="3"/>
        <v>Normal</v>
      </c>
    </row>
    <row r="492" ht="15.75" customHeight="1">
      <c r="A492" s="3" t="s">
        <v>609</v>
      </c>
      <c r="B492" s="5">
        <v>139.0</v>
      </c>
      <c r="C492" s="5">
        <v>7.0</v>
      </c>
      <c r="D492" s="9">
        <v>46032.59930555556</v>
      </c>
      <c r="E492" s="10">
        <f t="shared" si="1"/>
        <v>46032</v>
      </c>
      <c r="F492" s="5">
        <v>499.0</v>
      </c>
      <c r="G492" s="3" t="s">
        <v>22</v>
      </c>
      <c r="H492" s="3" t="s">
        <v>48</v>
      </c>
      <c r="I492" s="5">
        <v>16.0</v>
      </c>
      <c r="J492" s="8" t="str">
        <f>IFERROR(IFNA(vlookup(C492,merchants!$A$1:$D$41,2,FALSE),"Merchant not found"), "Merchant not found")</f>
        <v>Merchant_007</v>
      </c>
      <c r="K492" s="8" t="str">
        <f>IFERROR(IFNA(vlookup(C492,merchants!$A$1:$D$41,3,FALSE),"Merchant not found"), "Merchant not found")</f>
        <v>food_delivery</v>
      </c>
      <c r="L492" s="8" t="str">
        <f>IFERROR(IFNA(vlookup(C492,merchants!$A$1:$D$41,4,FALSE),"Merchant not found"), "Merchant not found")</f>
        <v>East</v>
      </c>
      <c r="M492" s="8">
        <f>IFERROR(IFNA(hlookup(G492,payment_methods!$A$1:$E$2,2,FALSE),"Payment method not found"), "Payment method not found")</f>
        <v>0.01</v>
      </c>
      <c r="N492" s="8">
        <f t="shared" si="2"/>
        <v>499</v>
      </c>
      <c r="O492" s="8" t="str">
        <f t="shared" si="3"/>
        <v>Normal</v>
      </c>
    </row>
    <row r="493" ht="15.75" customHeight="1">
      <c r="A493" s="3" t="s">
        <v>610</v>
      </c>
      <c r="B493" s="5">
        <v>230.0</v>
      </c>
      <c r="C493" s="5">
        <v>36.0</v>
      </c>
      <c r="D493" s="9">
        <v>46025.22708333333</v>
      </c>
      <c r="E493" s="10">
        <f t="shared" si="1"/>
        <v>46025</v>
      </c>
      <c r="F493" s="5">
        <v>99.0</v>
      </c>
      <c r="G493" s="3" t="s">
        <v>15</v>
      </c>
      <c r="H493" s="3" t="s">
        <v>48</v>
      </c>
      <c r="I493" s="5">
        <v>71.0</v>
      </c>
      <c r="J493" s="8" t="str">
        <f>IFERROR(IFNA(vlookup(C493,merchants!$A$1:$D$41,2,FALSE),"Merchant not found"), "Merchant not found")</f>
        <v>Merchant_036</v>
      </c>
      <c r="K493" s="8" t="str">
        <f>IFERROR(IFNA(vlookup(C493,merchants!$A$1:$D$41,3,FALSE),"Merchant not found"), "Merchant not found")</f>
        <v>entertainment</v>
      </c>
      <c r="L493" s="8" t="str">
        <f>IFERROR(IFNA(vlookup(C493,merchants!$A$1:$D$41,4,FALSE),"Merchant not found"), "Merchant not found")</f>
        <v>East</v>
      </c>
      <c r="M493" s="8">
        <f>IFERROR(IFNA(hlookup(G493,payment_methods!$A$1:$E$2,2,FALSE),"Payment method not found"), "Payment method not found")</f>
        <v>0.0025</v>
      </c>
      <c r="N493" s="8">
        <f t="shared" si="2"/>
        <v>248</v>
      </c>
      <c r="O493" s="8" t="str">
        <f t="shared" si="3"/>
        <v>Normal</v>
      </c>
    </row>
    <row r="494" ht="15.75" customHeight="1">
      <c r="A494" s="3" t="s">
        <v>611</v>
      </c>
      <c r="B494" s="5">
        <v>14.0</v>
      </c>
      <c r="C494" s="5">
        <v>6.0</v>
      </c>
      <c r="D494" s="9">
        <v>46039.54583333333</v>
      </c>
      <c r="E494" s="10">
        <f t="shared" si="1"/>
        <v>46039</v>
      </c>
      <c r="F494" s="5">
        <v>799.0</v>
      </c>
      <c r="G494" s="3" t="s">
        <v>22</v>
      </c>
      <c r="H494" s="3" t="s">
        <v>48</v>
      </c>
      <c r="I494" s="5">
        <v>45.0</v>
      </c>
      <c r="J494" s="8" t="str">
        <f>IFERROR(IFNA(vlookup(C494,merchants!$A$1:$D$41,2,FALSE),"Merchant not found"), "Merchant not found")</f>
        <v>Merchant_006</v>
      </c>
      <c r="K494" s="8" t="str">
        <f>IFERROR(IFNA(vlookup(C494,merchants!$A$1:$D$41,3,FALSE),"Merchant not found"), "Merchant not found")</f>
        <v>food_delivery</v>
      </c>
      <c r="L494" s="8" t="str">
        <f>IFERROR(IFNA(vlookup(C494,merchants!$A$1:$D$41,4,FALSE),"Merchant not found"), "Merchant not found")</f>
        <v>South</v>
      </c>
      <c r="M494" s="8">
        <f>IFERROR(IFNA(hlookup(G494,payment_methods!$A$1:$E$2,2,FALSE),"Payment method not found"), "Payment method not found")</f>
        <v>0.01</v>
      </c>
      <c r="N494" s="8">
        <f t="shared" si="2"/>
        <v>799</v>
      </c>
      <c r="O494" s="8" t="str">
        <f t="shared" si="3"/>
        <v>Normal</v>
      </c>
    </row>
    <row r="495" ht="15.75" customHeight="1">
      <c r="A495" s="3" t="s">
        <v>612</v>
      </c>
      <c r="B495" s="5">
        <v>307.0</v>
      </c>
      <c r="C495" s="5">
        <v>21.0</v>
      </c>
      <c r="D495" s="9">
        <v>46040.10972222222</v>
      </c>
      <c r="E495" s="10">
        <f t="shared" si="1"/>
        <v>46040</v>
      </c>
      <c r="F495" s="5">
        <v>799.0</v>
      </c>
      <c r="G495" s="3" t="s">
        <v>20</v>
      </c>
      <c r="H495" s="3" t="s">
        <v>48</v>
      </c>
      <c r="I495" s="5">
        <v>49.0</v>
      </c>
      <c r="J495" s="8" t="str">
        <f>IFERROR(IFNA(vlookup(C495,merchants!$A$1:$D$41,2,FALSE),"Merchant not found"), "Merchant not found")</f>
        <v>Merchant_021</v>
      </c>
      <c r="K495" s="8" t="str">
        <f>IFERROR(IFNA(vlookup(C495,merchants!$A$1:$D$41,3,FALSE),"Merchant not found"), "Merchant not found")</f>
        <v>food_delivery</v>
      </c>
      <c r="L495" s="8" t="str">
        <f>IFERROR(IFNA(vlookup(C495,merchants!$A$1:$D$41,4,FALSE),"Merchant not found"), "Merchant not found")</f>
        <v>East</v>
      </c>
      <c r="M495" s="8">
        <f>IFERROR(IFNA(hlookup(G495,payment_methods!$A$1:$E$2,2,FALSE),"Payment method not found"), "Payment method not found")</f>
        <v>0</v>
      </c>
      <c r="N495" s="8">
        <f t="shared" si="2"/>
        <v>799</v>
      </c>
      <c r="O495" s="8" t="str">
        <f t="shared" si="3"/>
        <v>Normal</v>
      </c>
    </row>
    <row r="496" ht="15.75" customHeight="1">
      <c r="A496" s="3" t="s">
        <v>613</v>
      </c>
      <c r="B496" s="5">
        <v>199.0</v>
      </c>
      <c r="C496" s="5">
        <v>6.0</v>
      </c>
      <c r="D496" s="9">
        <v>46023.393055555556</v>
      </c>
      <c r="E496" s="10">
        <f t="shared" si="1"/>
        <v>46023</v>
      </c>
      <c r="F496" s="5">
        <v>49.0</v>
      </c>
      <c r="G496" s="3" t="s">
        <v>20</v>
      </c>
      <c r="H496" s="3" t="s">
        <v>48</v>
      </c>
      <c r="I496" s="5">
        <v>92.0</v>
      </c>
      <c r="J496" s="8" t="str">
        <f>IFERROR(IFNA(vlookup(C496,merchants!$A$1:$D$41,2,FALSE),"Merchant not found"), "Merchant not found")</f>
        <v>Merchant_006</v>
      </c>
      <c r="K496" s="8" t="str">
        <f>IFERROR(IFNA(vlookup(C496,merchants!$A$1:$D$41,3,FALSE),"Merchant not found"), "Merchant not found")</f>
        <v>food_delivery</v>
      </c>
      <c r="L496" s="8" t="str">
        <f>IFERROR(IFNA(vlookup(C496,merchants!$A$1:$D$41,4,FALSE),"Merchant not found"), "Merchant not found")</f>
        <v>South</v>
      </c>
      <c r="M496" s="8">
        <f>IFERROR(IFNA(hlookup(G496,payment_methods!$A$1:$E$2,2,FALSE),"Payment method not found"), "Payment method not found")</f>
        <v>0</v>
      </c>
      <c r="N496" s="8">
        <f t="shared" si="2"/>
        <v>49</v>
      </c>
      <c r="O496" s="8" t="str">
        <f t="shared" si="3"/>
        <v>Normal</v>
      </c>
    </row>
    <row r="497" ht="15.75" customHeight="1">
      <c r="A497" s="3" t="s">
        <v>614</v>
      </c>
      <c r="B497" s="5">
        <v>125.0</v>
      </c>
      <c r="C497" s="5">
        <v>37.0</v>
      </c>
      <c r="D497" s="9">
        <v>46051.74791666667</v>
      </c>
      <c r="E497" s="10">
        <f t="shared" si="1"/>
        <v>46051</v>
      </c>
      <c r="F497" s="5">
        <v>149.0</v>
      </c>
      <c r="G497" s="3" t="s">
        <v>15</v>
      </c>
      <c r="H497" s="3" t="s">
        <v>48</v>
      </c>
      <c r="I497" s="5">
        <v>66.0</v>
      </c>
      <c r="J497" s="8" t="str">
        <f>IFERROR(IFNA(vlookup(C497,merchants!$A$1:$D$41,2,FALSE),"Merchant not found"), "Merchant not found")</f>
        <v>Merchant_037</v>
      </c>
      <c r="K497" s="8" t="str">
        <f>IFERROR(IFNA(vlookup(C497,merchants!$A$1:$D$41,3,FALSE),"Merchant not found"), "Merchant not found")</f>
        <v>entertainment</v>
      </c>
      <c r="L497" s="8" t="str">
        <f>IFERROR(IFNA(vlookup(C497,merchants!$A$1:$D$41,4,FALSE),"Merchant not found"), "Merchant not found")</f>
        <v>South</v>
      </c>
      <c r="M497" s="8">
        <f>IFERROR(IFNA(hlookup(G497,payment_methods!$A$1:$E$2,2,FALSE),"Payment method not found"), "Payment method not found")</f>
        <v>0.0025</v>
      </c>
      <c r="N497" s="8">
        <f t="shared" si="2"/>
        <v>149</v>
      </c>
      <c r="O497" s="8" t="str">
        <f t="shared" si="3"/>
        <v>Normal</v>
      </c>
    </row>
    <row r="498" ht="15.75" customHeight="1">
      <c r="A498" s="3" t="s">
        <v>615</v>
      </c>
      <c r="B498" s="5">
        <v>87.0</v>
      </c>
      <c r="C498" s="5">
        <v>9.0</v>
      </c>
      <c r="D498" s="9">
        <v>46028.89166666667</v>
      </c>
      <c r="E498" s="10">
        <f t="shared" si="1"/>
        <v>46028</v>
      </c>
      <c r="F498" s="5">
        <v>149.0</v>
      </c>
      <c r="G498" s="3" t="s">
        <v>20</v>
      </c>
      <c r="H498" s="3" t="s">
        <v>48</v>
      </c>
      <c r="I498" s="5">
        <v>34.0</v>
      </c>
      <c r="J498" s="8" t="str">
        <f>IFERROR(IFNA(vlookup(C498,merchants!$A$1:$D$41,2,FALSE),"Merchant not found"), "Merchant not found")</f>
        <v>Merchant_009</v>
      </c>
      <c r="K498" s="8" t="str">
        <f>IFERROR(IFNA(vlookup(C498,merchants!$A$1:$D$41,3,FALSE),"Merchant not found"), "Merchant not found")</f>
        <v>ecommerce</v>
      </c>
      <c r="L498" s="8" t="str">
        <f>IFERROR(IFNA(vlookup(C498,merchants!$A$1:$D$41,4,FALSE),"Merchant not found"), "Merchant not found")</f>
        <v>North</v>
      </c>
      <c r="M498" s="8">
        <f>IFERROR(IFNA(hlookup(G498,payment_methods!$A$1:$E$2,2,FALSE),"Payment method not found"), "Payment method not found")</f>
        <v>0</v>
      </c>
      <c r="N498" s="8">
        <f t="shared" si="2"/>
        <v>149</v>
      </c>
      <c r="O498" s="8" t="str">
        <f t="shared" si="3"/>
        <v>Normal</v>
      </c>
    </row>
    <row r="499" ht="15.75" customHeight="1">
      <c r="A499" s="3" t="s">
        <v>616</v>
      </c>
      <c r="B499" s="5">
        <v>75.0</v>
      </c>
      <c r="C499" s="5">
        <v>5.0</v>
      </c>
      <c r="D499" s="9">
        <v>46032.35486111111</v>
      </c>
      <c r="E499" s="10">
        <f t="shared" si="1"/>
        <v>46032</v>
      </c>
      <c r="F499" s="5">
        <v>99.0</v>
      </c>
      <c r="G499" s="3" t="s">
        <v>20</v>
      </c>
      <c r="H499" s="3" t="s">
        <v>48</v>
      </c>
      <c r="I499" s="5">
        <v>21.0</v>
      </c>
      <c r="J499" s="8" t="str">
        <f>IFERROR(IFNA(vlookup(C499,merchants!$A$1:$D$41,2,FALSE),"Merchant not found"), "Merchant not found")</f>
        <v>Merchant_005</v>
      </c>
      <c r="K499" s="8" t="str">
        <f>IFERROR(IFNA(vlookup(C499,merchants!$A$1:$D$41,3,FALSE),"Merchant not found"), "Merchant not found")</f>
        <v>recharge</v>
      </c>
      <c r="L499" s="8" t="str">
        <f>IFERROR(IFNA(vlookup(C499,merchants!$A$1:$D$41,4,FALSE),"Merchant not found"), "Merchant not found")</f>
        <v>South</v>
      </c>
      <c r="M499" s="8">
        <f>IFERROR(IFNA(hlookup(G499,payment_methods!$A$1:$E$2,2,FALSE),"Payment method not found"), "Payment method not found")</f>
        <v>0</v>
      </c>
      <c r="N499" s="8">
        <f t="shared" si="2"/>
        <v>99</v>
      </c>
      <c r="O499" s="8" t="str">
        <f t="shared" si="3"/>
        <v>Normal</v>
      </c>
    </row>
    <row r="500" ht="15.75" customHeight="1">
      <c r="A500" s="3" t="s">
        <v>617</v>
      </c>
      <c r="B500" s="5">
        <v>154.0</v>
      </c>
      <c r="C500" s="5">
        <v>31.0</v>
      </c>
      <c r="D500" s="9">
        <v>46036.35138888889</v>
      </c>
      <c r="E500" s="10">
        <f t="shared" si="1"/>
        <v>46036</v>
      </c>
      <c r="F500" s="5">
        <v>499.0</v>
      </c>
      <c r="G500" s="3" t="s">
        <v>15</v>
      </c>
      <c r="H500" s="3" t="s">
        <v>48</v>
      </c>
      <c r="I500" s="5">
        <v>100.0</v>
      </c>
      <c r="J500" s="8" t="str">
        <f>IFERROR(IFNA(vlookup(C500,merchants!$A$1:$D$41,2,FALSE),"Merchant not found"), "Merchant not found")</f>
        <v>Merchant_031</v>
      </c>
      <c r="K500" s="8" t="str">
        <f>IFERROR(IFNA(vlookup(C500,merchants!$A$1:$D$41,3,FALSE),"Merchant not found"), "Merchant not found")</f>
        <v>bill_payment</v>
      </c>
      <c r="L500" s="8" t="str">
        <f>IFERROR(IFNA(vlookup(C500,merchants!$A$1:$D$41,4,FALSE),"Merchant not found"), "Merchant not found")</f>
        <v>East</v>
      </c>
      <c r="M500" s="8">
        <f>IFERROR(IFNA(hlookup(G500,payment_methods!$A$1:$E$2,2,FALSE),"Payment method not found"), "Payment method not found")</f>
        <v>0.0025</v>
      </c>
      <c r="N500" s="8">
        <f t="shared" si="2"/>
        <v>499</v>
      </c>
      <c r="O500" s="8" t="str">
        <f t="shared" si="3"/>
        <v>Normal</v>
      </c>
    </row>
    <row r="501" ht="15.75" customHeight="1">
      <c r="A501" s="3" t="s">
        <v>618</v>
      </c>
      <c r="B501" s="5">
        <v>127.0</v>
      </c>
      <c r="C501" s="5">
        <v>32.0</v>
      </c>
      <c r="D501" s="9">
        <v>46025.46944444445</v>
      </c>
      <c r="E501" s="10">
        <f t="shared" si="1"/>
        <v>46025</v>
      </c>
      <c r="F501" s="5">
        <v>149.0</v>
      </c>
      <c r="G501" s="3" t="s">
        <v>22</v>
      </c>
      <c r="H501" s="3" t="s">
        <v>48</v>
      </c>
      <c r="I501" s="5">
        <v>76.0</v>
      </c>
      <c r="J501" s="8" t="str">
        <f>IFERROR(IFNA(vlookup(C501,merchants!$A$1:$D$41,2,FALSE),"Merchant not found"), "Merchant not found")</f>
        <v>Merchant_032</v>
      </c>
      <c r="K501" s="8" t="str">
        <f>IFERROR(IFNA(vlookup(C501,merchants!$A$1:$D$41,3,FALSE),"Merchant not found"), "Merchant not found")</f>
        <v>food_delivery</v>
      </c>
      <c r="L501" s="8" t="str">
        <f>IFERROR(IFNA(vlookup(C501,merchants!$A$1:$D$41,4,FALSE),"Merchant not found"), "Merchant not found")</f>
        <v>West</v>
      </c>
      <c r="M501" s="8">
        <f>IFERROR(IFNA(hlookup(G501,payment_methods!$A$1:$E$2,2,FALSE),"Payment method not found"), "Payment method not found")</f>
        <v>0.01</v>
      </c>
      <c r="N501" s="8">
        <f t="shared" si="2"/>
        <v>149</v>
      </c>
      <c r="O501" s="8" t="str">
        <f t="shared" si="3"/>
        <v>Normal</v>
      </c>
    </row>
    <row r="502" ht="15.75" customHeight="1">
      <c r="A502" s="3" t="s">
        <v>619</v>
      </c>
      <c r="B502" s="5">
        <v>351.0</v>
      </c>
      <c r="C502" s="5">
        <v>7.0</v>
      </c>
      <c r="D502" s="9">
        <v>46052.25</v>
      </c>
      <c r="E502" s="10">
        <f t="shared" si="1"/>
        <v>46052</v>
      </c>
      <c r="F502" s="5">
        <v>1999.0</v>
      </c>
      <c r="G502" s="3" t="s">
        <v>22</v>
      </c>
      <c r="H502" s="3" t="s">
        <v>81</v>
      </c>
      <c r="I502" s="5">
        <v>79.0</v>
      </c>
      <c r="J502" s="8" t="str">
        <f>IFERROR(IFNA(vlookup(C502,merchants!$A$1:$D$41,2,FALSE),"Merchant not found"), "Merchant not found")</f>
        <v>Merchant_007</v>
      </c>
      <c r="K502" s="8" t="str">
        <f>IFERROR(IFNA(vlookup(C502,merchants!$A$1:$D$41,3,FALSE),"Merchant not found"), "Merchant not found")</f>
        <v>food_delivery</v>
      </c>
      <c r="L502" s="8" t="str">
        <f>IFERROR(IFNA(vlookup(C502,merchants!$A$1:$D$41,4,FALSE),"Merchant not found"), "Merchant not found")</f>
        <v>East</v>
      </c>
      <c r="M502" s="8">
        <f>IFERROR(IFNA(hlookup(G502,payment_methods!$A$1:$E$2,2,FALSE),"Payment method not found"), "Payment method not found")</f>
        <v>0.01</v>
      </c>
      <c r="N502" s="8">
        <f t="shared" si="2"/>
        <v>1999</v>
      </c>
      <c r="O502" s="8" t="str">
        <f t="shared" si="3"/>
        <v>Normal</v>
      </c>
    </row>
    <row r="503" ht="15.75" customHeight="1">
      <c r="A503" s="3" t="s">
        <v>620</v>
      </c>
      <c r="B503" s="5">
        <v>352.0</v>
      </c>
      <c r="C503" s="5">
        <v>40.0</v>
      </c>
      <c r="D503" s="9">
        <v>46033.5</v>
      </c>
      <c r="E503" s="10">
        <f t="shared" si="1"/>
        <v>46033</v>
      </c>
      <c r="F503" s="5">
        <v>4999.0</v>
      </c>
      <c r="G503" s="3" t="s">
        <v>22</v>
      </c>
      <c r="H503" s="3" t="s">
        <v>81</v>
      </c>
      <c r="I503" s="5">
        <v>95.0</v>
      </c>
      <c r="J503" s="8" t="str">
        <f>IFERROR(IFNA(vlookup(C503,merchants!$A$1:$D$41,2,FALSE),"Merchant not found"), "Merchant not found")</f>
        <v>Merchant_040</v>
      </c>
      <c r="K503" s="8" t="str">
        <f>IFERROR(IFNA(vlookup(C503,merchants!$A$1:$D$41,3,FALSE),"Merchant not found"), "Merchant not found")</f>
        <v>entertainment</v>
      </c>
      <c r="L503" s="8" t="str">
        <f>IFERROR(IFNA(vlookup(C503,merchants!$A$1:$D$41,4,FALSE),"Merchant not found"), "Merchant not found")</f>
        <v>South</v>
      </c>
      <c r="M503" s="8">
        <f>IFERROR(IFNA(hlookup(G503,payment_methods!$A$1:$E$2,2,FALSE),"Payment method not found"), "Payment method not found")</f>
        <v>0.01</v>
      </c>
      <c r="N503" s="8">
        <f t="shared" si="2"/>
        <v>4999</v>
      </c>
      <c r="O503" s="8" t="str">
        <f t="shared" si="3"/>
        <v>Normal</v>
      </c>
    </row>
    <row r="504" ht="15.75" customHeight="1">
      <c r="A504" s="3" t="s">
        <v>621</v>
      </c>
      <c r="B504" s="5">
        <v>353.0</v>
      </c>
      <c r="C504" s="5">
        <v>28.0</v>
      </c>
      <c r="D504" s="9">
        <v>46043.583333333336</v>
      </c>
      <c r="E504" s="10">
        <f t="shared" si="1"/>
        <v>46043</v>
      </c>
      <c r="F504" s="5">
        <v>1999.0</v>
      </c>
      <c r="G504" s="3" t="s">
        <v>22</v>
      </c>
      <c r="H504" s="3" t="s">
        <v>81</v>
      </c>
      <c r="I504" s="5">
        <v>79.0</v>
      </c>
      <c r="J504" s="8" t="str">
        <f>IFERROR(IFNA(vlookup(C504,merchants!$A$1:$D$41,2,FALSE),"Merchant not found"), "Merchant not found")</f>
        <v>Merchant_028</v>
      </c>
      <c r="K504" s="8" t="str">
        <f>IFERROR(IFNA(vlookup(C504,merchants!$A$1:$D$41,3,FALSE),"Merchant not found"), "Merchant not found")</f>
        <v>ecommerce</v>
      </c>
      <c r="L504" s="8" t="str">
        <f>IFERROR(IFNA(vlookup(C504,merchants!$A$1:$D$41,4,FALSE),"Merchant not found"), "Merchant not found")</f>
        <v>South</v>
      </c>
      <c r="M504" s="8">
        <f>IFERROR(IFNA(hlookup(G504,payment_methods!$A$1:$E$2,2,FALSE),"Payment method not found"), "Payment method not found")</f>
        <v>0.01</v>
      </c>
      <c r="N504" s="8">
        <f t="shared" si="2"/>
        <v>1999</v>
      </c>
      <c r="O504" s="8" t="str">
        <f t="shared" si="3"/>
        <v>Normal</v>
      </c>
    </row>
    <row r="505" ht="15.75" customHeight="1">
      <c r="A505" s="3" t="s">
        <v>622</v>
      </c>
      <c r="B505" s="5">
        <v>354.0</v>
      </c>
      <c r="C505" s="5">
        <v>13.0</v>
      </c>
      <c r="D505" s="9">
        <v>46043.791666666664</v>
      </c>
      <c r="E505" s="10">
        <f t="shared" si="1"/>
        <v>46043</v>
      </c>
      <c r="F505" s="5">
        <v>4999.0</v>
      </c>
      <c r="G505" s="3" t="s">
        <v>22</v>
      </c>
      <c r="H505" s="3" t="s">
        <v>81</v>
      </c>
      <c r="I505" s="5">
        <v>80.0</v>
      </c>
      <c r="J505" s="8" t="str">
        <f>IFERROR(IFNA(vlookup(C505,merchants!$A$1:$D$41,2,FALSE),"Merchant not found"), "Merchant not found")</f>
        <v>Merchant_013</v>
      </c>
      <c r="K505" s="8" t="str">
        <f>IFERROR(IFNA(vlookup(C505,merchants!$A$1:$D$41,3,FALSE),"Merchant not found"), "Merchant not found")</f>
        <v>travel</v>
      </c>
      <c r="L505" s="8" t="str">
        <f>IFERROR(IFNA(vlookup(C505,merchants!$A$1:$D$41,4,FALSE),"Merchant not found"), "Merchant not found")</f>
        <v>East</v>
      </c>
      <c r="M505" s="8">
        <f>IFERROR(IFNA(hlookup(G505,payment_methods!$A$1:$E$2,2,FALSE),"Payment method not found"), "Payment method not found")</f>
        <v>0.01</v>
      </c>
      <c r="N505" s="8">
        <f t="shared" si="2"/>
        <v>4999</v>
      </c>
      <c r="O505" s="8" t="str">
        <f t="shared" si="3"/>
        <v>Normal</v>
      </c>
    </row>
    <row r="506" ht="15.75" customHeight="1">
      <c r="A506" s="3" t="s">
        <v>623</v>
      </c>
      <c r="B506" s="5">
        <v>355.0</v>
      </c>
      <c r="C506" s="5">
        <v>19.0</v>
      </c>
      <c r="D506" s="9">
        <v>46038.5</v>
      </c>
      <c r="E506" s="10">
        <f t="shared" si="1"/>
        <v>46038</v>
      </c>
      <c r="F506" s="5">
        <v>4999.0</v>
      </c>
      <c r="G506" s="3" t="s">
        <v>22</v>
      </c>
      <c r="H506" s="3" t="s">
        <v>81</v>
      </c>
      <c r="I506" s="5">
        <v>100.0</v>
      </c>
      <c r="J506" s="8" t="str">
        <f>IFERROR(IFNA(vlookup(C506,merchants!$A$1:$D$41,2,FALSE),"Merchant not found"), "Merchant not found")</f>
        <v>Merchant_019</v>
      </c>
      <c r="K506" s="8" t="str">
        <f>IFERROR(IFNA(vlookup(C506,merchants!$A$1:$D$41,3,FALSE),"Merchant not found"), "Merchant not found")</f>
        <v>grocery</v>
      </c>
      <c r="L506" s="8" t="str">
        <f>IFERROR(IFNA(vlookup(C506,merchants!$A$1:$D$41,4,FALSE),"Merchant not found"), "Merchant not found")</f>
        <v>North</v>
      </c>
      <c r="M506" s="8">
        <f>IFERROR(IFNA(hlookup(G506,payment_methods!$A$1:$E$2,2,FALSE),"Payment method not found"), "Payment method not found")</f>
        <v>0.01</v>
      </c>
      <c r="N506" s="8">
        <f t="shared" si="2"/>
        <v>4999</v>
      </c>
      <c r="O506" s="8" t="str">
        <f t="shared" si="3"/>
        <v>Normal</v>
      </c>
    </row>
    <row r="507" ht="15.75" customHeight="1">
      <c r="A507" s="3" t="s">
        <v>624</v>
      </c>
      <c r="B507" s="5">
        <v>356.0</v>
      </c>
      <c r="C507" s="5">
        <v>25.0</v>
      </c>
      <c r="D507" s="9">
        <v>46051.291666666664</v>
      </c>
      <c r="E507" s="10">
        <f t="shared" si="1"/>
        <v>46051</v>
      </c>
      <c r="F507" s="5">
        <v>2999.0</v>
      </c>
      <c r="G507" s="3" t="s">
        <v>22</v>
      </c>
      <c r="H507" s="3" t="s">
        <v>81</v>
      </c>
      <c r="I507" s="5">
        <v>96.0</v>
      </c>
      <c r="J507" s="8" t="str">
        <f>IFERROR(IFNA(vlookup(C507,merchants!$A$1:$D$41,2,FALSE),"Merchant not found"), "Merchant not found")</f>
        <v>Merchant_025</v>
      </c>
      <c r="K507" s="8" t="str">
        <f>IFERROR(IFNA(vlookup(C507,merchants!$A$1:$D$41,3,FALSE),"Merchant not found"), "Merchant not found")</f>
        <v>travel</v>
      </c>
      <c r="L507" s="8" t="str">
        <f>IFERROR(IFNA(vlookup(C507,merchants!$A$1:$D$41,4,FALSE),"Merchant not found"), "Merchant not found")</f>
        <v>South</v>
      </c>
      <c r="M507" s="8">
        <f>IFERROR(IFNA(hlookup(G507,payment_methods!$A$1:$E$2,2,FALSE),"Payment method not found"), "Payment method not found")</f>
        <v>0.01</v>
      </c>
      <c r="N507" s="8">
        <f t="shared" si="2"/>
        <v>3048</v>
      </c>
      <c r="O507" s="8" t="str">
        <f t="shared" si="3"/>
        <v>Normal</v>
      </c>
    </row>
    <row r="508" ht="15.75" customHeight="1">
      <c r="A508" s="3" t="s">
        <v>625</v>
      </c>
      <c r="B508" s="5">
        <v>357.0</v>
      </c>
      <c r="C508" s="5">
        <v>37.0</v>
      </c>
      <c r="D508" s="9">
        <v>46045.458333333336</v>
      </c>
      <c r="E508" s="10">
        <f t="shared" si="1"/>
        <v>46045</v>
      </c>
      <c r="F508" s="5">
        <v>1999.0</v>
      </c>
      <c r="G508" s="3" t="s">
        <v>22</v>
      </c>
      <c r="H508" s="3" t="s">
        <v>81</v>
      </c>
      <c r="I508" s="5">
        <v>88.0</v>
      </c>
      <c r="J508" s="8" t="str">
        <f>IFERROR(IFNA(vlookup(C508,merchants!$A$1:$D$41,2,FALSE),"Merchant not found"), "Merchant not found")</f>
        <v>Merchant_037</v>
      </c>
      <c r="K508" s="8" t="str">
        <f>IFERROR(IFNA(vlookup(C508,merchants!$A$1:$D$41,3,FALSE),"Merchant not found"), "Merchant not found")</f>
        <v>entertainment</v>
      </c>
      <c r="L508" s="8" t="str">
        <f>IFERROR(IFNA(vlookup(C508,merchants!$A$1:$D$41,4,FALSE),"Merchant not found"), "Merchant not found")</f>
        <v>South</v>
      </c>
      <c r="M508" s="8">
        <f>IFERROR(IFNA(hlookup(G508,payment_methods!$A$1:$E$2,2,FALSE),"Payment method not found"), "Payment method not found")</f>
        <v>0.01</v>
      </c>
      <c r="N508" s="8">
        <f t="shared" si="2"/>
        <v>1999</v>
      </c>
      <c r="O508" s="8" t="str">
        <f t="shared" si="3"/>
        <v>Normal</v>
      </c>
    </row>
    <row r="509" ht="15.75" customHeight="1">
      <c r="A509" s="3" t="s">
        <v>626</v>
      </c>
      <c r="B509" s="5">
        <v>358.0</v>
      </c>
      <c r="C509" s="5">
        <v>36.0</v>
      </c>
      <c r="D509" s="9">
        <v>46050.208333333336</v>
      </c>
      <c r="E509" s="10">
        <f t="shared" si="1"/>
        <v>46050</v>
      </c>
      <c r="F509" s="5">
        <v>999.0</v>
      </c>
      <c r="G509" s="3" t="s">
        <v>22</v>
      </c>
      <c r="H509" s="3" t="s">
        <v>81</v>
      </c>
      <c r="I509" s="5">
        <v>100.0</v>
      </c>
      <c r="J509" s="8" t="str">
        <f>IFERROR(IFNA(vlookup(C509,merchants!$A$1:$D$41,2,FALSE),"Merchant not found"), "Merchant not found")</f>
        <v>Merchant_036</v>
      </c>
      <c r="K509" s="8" t="str">
        <f>IFERROR(IFNA(vlookup(C509,merchants!$A$1:$D$41,3,FALSE),"Merchant not found"), "Merchant not found")</f>
        <v>entertainment</v>
      </c>
      <c r="L509" s="8" t="str">
        <f>IFERROR(IFNA(vlookup(C509,merchants!$A$1:$D$41,4,FALSE),"Merchant not found"), "Merchant not found")</f>
        <v>East</v>
      </c>
      <c r="M509" s="8">
        <f>IFERROR(IFNA(hlookup(G509,payment_methods!$A$1:$E$2,2,FALSE),"Payment method not found"), "Payment method not found")</f>
        <v>0.01</v>
      </c>
      <c r="N509" s="8">
        <f t="shared" si="2"/>
        <v>999</v>
      </c>
      <c r="O509" s="8" t="str">
        <f t="shared" si="3"/>
        <v>Normal</v>
      </c>
    </row>
    <row r="510" ht="15.75" customHeight="1">
      <c r="A510" s="3" t="s">
        <v>627</v>
      </c>
      <c r="B510" s="5">
        <v>359.0</v>
      </c>
      <c r="C510" s="5">
        <v>29.0</v>
      </c>
      <c r="D510" s="9">
        <v>46047.916666666664</v>
      </c>
      <c r="E510" s="10">
        <f t="shared" si="1"/>
        <v>46047</v>
      </c>
      <c r="F510" s="5">
        <v>2999.0</v>
      </c>
      <c r="G510" s="3" t="s">
        <v>22</v>
      </c>
      <c r="H510" s="3" t="s">
        <v>81</v>
      </c>
      <c r="I510" s="5">
        <v>96.0</v>
      </c>
      <c r="J510" s="8" t="str">
        <f>IFERROR(IFNA(vlookup(C510,merchants!$A$1:$D$41,2,FALSE),"Merchant not found"), "Merchant not found")</f>
        <v>Merchant_029</v>
      </c>
      <c r="K510" s="8" t="str">
        <f>IFERROR(IFNA(vlookup(C510,merchants!$A$1:$D$41,3,FALSE),"Merchant not found"), "Merchant not found")</f>
        <v>ecommerce</v>
      </c>
      <c r="L510" s="8" t="str">
        <f>IFERROR(IFNA(vlookup(C510,merchants!$A$1:$D$41,4,FALSE),"Merchant not found"), "Merchant not found")</f>
        <v>North</v>
      </c>
      <c r="M510" s="8">
        <f>IFERROR(IFNA(hlookup(G510,payment_methods!$A$1:$E$2,2,FALSE),"Payment method not found"), "Payment method not found")</f>
        <v>0.01</v>
      </c>
      <c r="N510" s="8">
        <f t="shared" si="2"/>
        <v>3896</v>
      </c>
      <c r="O510" s="8" t="str">
        <f t="shared" si="3"/>
        <v>Normal</v>
      </c>
    </row>
    <row r="511" ht="15.75" customHeight="1">
      <c r="A511" s="3" t="s">
        <v>628</v>
      </c>
      <c r="B511" s="5">
        <v>360.0</v>
      </c>
      <c r="C511" s="5">
        <v>32.0</v>
      </c>
      <c r="D511" s="9">
        <v>46035.541666666664</v>
      </c>
      <c r="E511" s="10">
        <f t="shared" si="1"/>
        <v>46035</v>
      </c>
      <c r="F511" s="5">
        <v>1999.0</v>
      </c>
      <c r="G511" s="3" t="s">
        <v>22</v>
      </c>
      <c r="H511" s="3" t="s">
        <v>81</v>
      </c>
      <c r="I511" s="5">
        <v>90.0</v>
      </c>
      <c r="J511" s="8" t="str">
        <f>IFERROR(IFNA(vlookup(C511,merchants!$A$1:$D$41,2,FALSE),"Merchant not found"), "Merchant not found")</f>
        <v>Merchant_032</v>
      </c>
      <c r="K511" s="8" t="str">
        <f>IFERROR(IFNA(vlookup(C511,merchants!$A$1:$D$41,3,FALSE),"Merchant not found"), "Merchant not found")</f>
        <v>food_delivery</v>
      </c>
      <c r="L511" s="8" t="str">
        <f>IFERROR(IFNA(vlookup(C511,merchants!$A$1:$D$41,4,FALSE),"Merchant not found"), "Merchant not found")</f>
        <v>West</v>
      </c>
      <c r="M511" s="8">
        <f>IFERROR(IFNA(hlookup(G511,payment_methods!$A$1:$E$2,2,FALSE),"Payment method not found"), "Payment method not found")</f>
        <v>0.01</v>
      </c>
      <c r="N511" s="8">
        <f t="shared" si="2"/>
        <v>1999</v>
      </c>
      <c r="O511" s="8" t="str">
        <f t="shared" si="3"/>
        <v>Normal</v>
      </c>
    </row>
    <row r="512" ht="15.75" customHeight="1">
      <c r="A512" s="3" t="s">
        <v>629</v>
      </c>
      <c r="B512" s="5">
        <v>361.0</v>
      </c>
      <c r="C512" s="5">
        <v>10.0</v>
      </c>
      <c r="D512" s="9">
        <v>46042.291666666664</v>
      </c>
      <c r="E512" s="10">
        <f t="shared" si="1"/>
        <v>46042</v>
      </c>
      <c r="F512" s="5">
        <v>4999.0</v>
      </c>
      <c r="G512" s="3" t="s">
        <v>22</v>
      </c>
      <c r="H512" s="3" t="s">
        <v>81</v>
      </c>
      <c r="I512" s="5">
        <v>95.0</v>
      </c>
      <c r="J512" s="8" t="str">
        <f>IFERROR(IFNA(vlookup(C512,merchants!$A$1:$D$41,2,FALSE),"Merchant not found"), "Merchant not found")</f>
        <v>Merchant_010</v>
      </c>
      <c r="K512" s="8" t="str">
        <f>IFERROR(IFNA(vlookup(C512,merchants!$A$1:$D$41,3,FALSE),"Merchant not found"), "Merchant not found")</f>
        <v>grocery</v>
      </c>
      <c r="L512" s="8" t="str">
        <f>IFERROR(IFNA(vlookup(C512,merchants!$A$1:$D$41,4,FALSE),"Merchant not found"), "Merchant not found")</f>
        <v>West</v>
      </c>
      <c r="M512" s="8">
        <f>IFERROR(IFNA(hlookup(G512,payment_methods!$A$1:$E$2,2,FALSE),"Payment method not found"), "Payment method not found")</f>
        <v>0.01</v>
      </c>
      <c r="N512" s="8">
        <f t="shared" si="2"/>
        <v>4999</v>
      </c>
      <c r="O512" s="8" t="str">
        <f t="shared" si="3"/>
        <v>Normal</v>
      </c>
    </row>
    <row r="513" ht="15.75" customHeight="1">
      <c r="A513" s="3" t="s">
        <v>630</v>
      </c>
      <c r="B513" s="5">
        <v>362.0</v>
      </c>
      <c r="C513" s="5">
        <v>39.0</v>
      </c>
      <c r="D513" s="9">
        <v>46045.083333333336</v>
      </c>
      <c r="E513" s="10">
        <f t="shared" si="1"/>
        <v>46045</v>
      </c>
      <c r="F513" s="5">
        <v>4999.0</v>
      </c>
      <c r="G513" s="3" t="s">
        <v>22</v>
      </c>
      <c r="H513" s="3" t="s">
        <v>81</v>
      </c>
      <c r="I513" s="5">
        <v>88.0</v>
      </c>
      <c r="J513" s="8" t="str">
        <f>IFERROR(IFNA(vlookup(C513,merchants!$A$1:$D$41,2,FALSE),"Merchant not found"), "Merchant not found")</f>
        <v>Merchant_039</v>
      </c>
      <c r="K513" s="8" t="str">
        <f>IFERROR(IFNA(vlookup(C513,merchants!$A$1:$D$41,3,FALSE),"Merchant not found"), "Merchant not found")</f>
        <v>entertainment</v>
      </c>
      <c r="L513" s="8" t="str">
        <f>IFERROR(IFNA(vlookup(C513,merchants!$A$1:$D$41,4,FALSE),"Merchant not found"), "Merchant not found")</f>
        <v>North</v>
      </c>
      <c r="M513" s="8">
        <f>IFERROR(IFNA(hlookup(G513,payment_methods!$A$1:$E$2,2,FALSE),"Payment method not found"), "Payment method not found")</f>
        <v>0.01</v>
      </c>
      <c r="N513" s="8">
        <f t="shared" si="2"/>
        <v>4999</v>
      </c>
      <c r="O513" s="8" t="str">
        <f t="shared" si="3"/>
        <v>Normal</v>
      </c>
    </row>
    <row r="514" ht="15.75" customHeight="1">
      <c r="A514" s="3" t="s">
        <v>631</v>
      </c>
      <c r="B514" s="5">
        <v>363.0</v>
      </c>
      <c r="C514" s="5">
        <v>27.0</v>
      </c>
      <c r="D514" s="9">
        <v>46045.708333333336</v>
      </c>
      <c r="E514" s="10">
        <f t="shared" si="1"/>
        <v>46045</v>
      </c>
      <c r="F514" s="5">
        <v>999.0</v>
      </c>
      <c r="G514" s="3" t="s">
        <v>22</v>
      </c>
      <c r="H514" s="3" t="s">
        <v>81</v>
      </c>
      <c r="I514" s="5">
        <v>95.0</v>
      </c>
      <c r="J514" s="8" t="str">
        <f>IFERROR(IFNA(vlookup(C514,merchants!$A$1:$D$41,2,FALSE),"Merchant not found"), "Merchant not found")</f>
        <v>Merchant_027</v>
      </c>
      <c r="K514" s="8" t="str">
        <f>IFERROR(IFNA(vlookup(C514,merchants!$A$1:$D$41,3,FALSE),"Merchant not found"), "Merchant not found")</f>
        <v>ecommerce</v>
      </c>
      <c r="L514" s="8" t="str">
        <f>IFERROR(IFNA(vlookup(C514,merchants!$A$1:$D$41,4,FALSE),"Merchant not found"), "Merchant not found")</f>
        <v>North</v>
      </c>
      <c r="M514" s="8">
        <f>IFERROR(IFNA(hlookup(G514,payment_methods!$A$1:$E$2,2,FALSE),"Payment method not found"), "Payment method not found")</f>
        <v>0.01</v>
      </c>
      <c r="N514" s="8">
        <f t="shared" si="2"/>
        <v>3998</v>
      </c>
      <c r="O514" s="8" t="str">
        <f t="shared" si="3"/>
        <v>Normal</v>
      </c>
    </row>
    <row r="515" ht="15.75" customHeight="1">
      <c r="A515" s="3" t="s">
        <v>632</v>
      </c>
      <c r="B515" s="5">
        <v>364.0</v>
      </c>
      <c r="C515" s="5">
        <v>39.0</v>
      </c>
      <c r="D515" s="9">
        <v>46044.916666666664</v>
      </c>
      <c r="E515" s="10">
        <f t="shared" si="1"/>
        <v>46044</v>
      </c>
      <c r="F515" s="5">
        <v>999.0</v>
      </c>
      <c r="G515" s="3" t="s">
        <v>22</v>
      </c>
      <c r="H515" s="3" t="s">
        <v>81</v>
      </c>
      <c r="I515" s="5">
        <v>73.0</v>
      </c>
      <c r="J515" s="8" t="str">
        <f>IFERROR(IFNA(vlookup(C515,merchants!$A$1:$D$41,2,FALSE),"Merchant not found"), "Merchant not found")</f>
        <v>Merchant_039</v>
      </c>
      <c r="K515" s="8" t="str">
        <f>IFERROR(IFNA(vlookup(C515,merchants!$A$1:$D$41,3,FALSE),"Merchant not found"), "Merchant not found")</f>
        <v>entertainment</v>
      </c>
      <c r="L515" s="8" t="str">
        <f>IFERROR(IFNA(vlookup(C515,merchants!$A$1:$D$41,4,FALSE),"Merchant not found"), "Merchant not found")</f>
        <v>North</v>
      </c>
      <c r="M515" s="8">
        <f>IFERROR(IFNA(hlookup(G515,payment_methods!$A$1:$E$2,2,FALSE),"Payment method not found"), "Payment method not found")</f>
        <v>0.01</v>
      </c>
      <c r="N515" s="8">
        <f t="shared" si="2"/>
        <v>9796</v>
      </c>
      <c r="O515" s="8" t="str">
        <f t="shared" si="3"/>
        <v>High-Value Merchant Day</v>
      </c>
    </row>
    <row r="516" ht="15.75" customHeight="1">
      <c r="A516" s="3" t="s">
        <v>633</v>
      </c>
      <c r="B516" s="5">
        <v>365.0</v>
      </c>
      <c r="C516" s="5">
        <v>23.0</v>
      </c>
      <c r="D516" s="9">
        <v>46040.875</v>
      </c>
      <c r="E516" s="10">
        <f t="shared" si="1"/>
        <v>46040</v>
      </c>
      <c r="F516" s="5">
        <v>1999.0</v>
      </c>
      <c r="G516" s="3" t="s">
        <v>22</v>
      </c>
      <c r="H516" s="3" t="s">
        <v>81</v>
      </c>
      <c r="I516" s="5">
        <v>90.0</v>
      </c>
      <c r="J516" s="8" t="str">
        <f>IFERROR(IFNA(vlookup(C516,merchants!$A$1:$D$41,2,FALSE),"Merchant not found"), "Merchant not found")</f>
        <v>Merchant_023</v>
      </c>
      <c r="K516" s="8" t="str">
        <f>IFERROR(IFNA(vlookup(C516,merchants!$A$1:$D$41,3,FALSE),"Merchant not found"), "Merchant not found")</f>
        <v>travel</v>
      </c>
      <c r="L516" s="8" t="str">
        <f>IFERROR(IFNA(vlookup(C516,merchants!$A$1:$D$41,4,FALSE),"Merchant not found"), "Merchant not found")</f>
        <v>North</v>
      </c>
      <c r="M516" s="8">
        <f>IFERROR(IFNA(hlookup(G516,payment_methods!$A$1:$E$2,2,FALSE),"Payment method not found"), "Payment method not found")</f>
        <v>0.01</v>
      </c>
      <c r="N516" s="8">
        <f t="shared" si="2"/>
        <v>1999</v>
      </c>
      <c r="O516" s="8" t="str">
        <f t="shared" si="3"/>
        <v>Normal</v>
      </c>
    </row>
    <row r="517" ht="15.75" customHeight="1">
      <c r="A517" s="3" t="s">
        <v>634</v>
      </c>
      <c r="B517" s="5">
        <v>314.0</v>
      </c>
      <c r="C517" s="5">
        <v>26.0</v>
      </c>
      <c r="D517" s="9">
        <v>46024.75</v>
      </c>
      <c r="E517" s="10">
        <f t="shared" si="1"/>
        <v>46024</v>
      </c>
      <c r="F517" s="5">
        <v>399.0</v>
      </c>
      <c r="G517" s="3" t="s">
        <v>22</v>
      </c>
      <c r="H517" s="3" t="s">
        <v>78</v>
      </c>
      <c r="I517" s="5">
        <v>87.0</v>
      </c>
      <c r="J517" s="8" t="str">
        <f>IFERROR(IFNA(vlookup(C517,merchants!$A$1:$D$41,2,FALSE),"Merchant not found"), "Merchant not found")</f>
        <v>Merchant_026</v>
      </c>
      <c r="K517" s="8" t="str">
        <f>IFERROR(IFNA(vlookup(C517,merchants!$A$1:$D$41,3,FALSE),"Merchant not found"), "Merchant not found")</f>
        <v>food_delivery</v>
      </c>
      <c r="L517" s="8" t="str">
        <f>IFERROR(IFNA(vlookup(C517,merchants!$A$1:$D$41,4,FALSE),"Merchant not found"), "Merchant not found")</f>
        <v>East</v>
      </c>
      <c r="M517" s="8">
        <f>IFERROR(IFNA(hlookup(G517,payment_methods!$A$1:$E$2,2,FALSE),"Payment method not found"), "Payment method not found")</f>
        <v>0.01</v>
      </c>
      <c r="N517" s="8">
        <f t="shared" si="2"/>
        <v>399</v>
      </c>
      <c r="O517" s="8" t="str">
        <f t="shared" si="3"/>
        <v>Normal</v>
      </c>
    </row>
    <row r="518" ht="15.75" customHeight="1">
      <c r="A518" s="3" t="s">
        <v>635</v>
      </c>
      <c r="B518" s="5">
        <v>314.0</v>
      </c>
      <c r="C518" s="5">
        <v>7.0</v>
      </c>
      <c r="D518" s="9">
        <v>46024.75069444445</v>
      </c>
      <c r="E518" s="10">
        <f t="shared" si="1"/>
        <v>46024</v>
      </c>
      <c r="F518" s="5">
        <v>299.0</v>
      </c>
      <c r="G518" s="3" t="s">
        <v>22</v>
      </c>
      <c r="H518" s="3" t="s">
        <v>78</v>
      </c>
      <c r="I518" s="5">
        <v>66.0</v>
      </c>
      <c r="J518" s="8" t="str">
        <f>IFERROR(IFNA(vlookup(C518,merchants!$A$1:$D$41,2,FALSE),"Merchant not found"), "Merchant not found")</f>
        <v>Merchant_007</v>
      </c>
      <c r="K518" s="8" t="str">
        <f>IFERROR(IFNA(vlookup(C518,merchants!$A$1:$D$41,3,FALSE),"Merchant not found"), "Merchant not found")</f>
        <v>food_delivery</v>
      </c>
      <c r="L518" s="8" t="str">
        <f>IFERROR(IFNA(vlookup(C518,merchants!$A$1:$D$41,4,FALSE),"Merchant not found"), "Merchant not found")</f>
        <v>East</v>
      </c>
      <c r="M518" s="8">
        <f>IFERROR(IFNA(hlookup(G518,payment_methods!$A$1:$E$2,2,FALSE),"Payment method not found"), "Payment method not found")</f>
        <v>0.01</v>
      </c>
      <c r="N518" s="8">
        <f t="shared" si="2"/>
        <v>3797</v>
      </c>
      <c r="O518" s="8" t="str">
        <f t="shared" si="3"/>
        <v>Normal</v>
      </c>
    </row>
    <row r="519" ht="15.75" customHeight="1">
      <c r="A519" s="3" t="s">
        <v>636</v>
      </c>
      <c r="B519" s="5">
        <v>314.0</v>
      </c>
      <c r="C519" s="5">
        <v>17.0</v>
      </c>
      <c r="D519" s="9">
        <v>46024.751388888886</v>
      </c>
      <c r="E519" s="10">
        <f t="shared" si="1"/>
        <v>46024</v>
      </c>
      <c r="F519" s="5">
        <v>299.0</v>
      </c>
      <c r="G519" s="3" t="s">
        <v>22</v>
      </c>
      <c r="H519" s="3" t="s">
        <v>78</v>
      </c>
      <c r="I519" s="5">
        <v>92.0</v>
      </c>
      <c r="J519" s="8" t="str">
        <f>IFERROR(IFNA(vlookup(C519,merchants!$A$1:$D$41,2,FALSE),"Merchant not found"), "Merchant not found")</f>
        <v>Merchant_017</v>
      </c>
      <c r="K519" s="8" t="str">
        <f>IFERROR(IFNA(vlookup(C519,merchants!$A$1:$D$41,3,FALSE),"Merchant not found"), "Merchant not found")</f>
        <v>grocery</v>
      </c>
      <c r="L519" s="8" t="str">
        <f>IFERROR(IFNA(vlookup(C519,merchants!$A$1:$D$41,4,FALSE),"Merchant not found"), "Merchant not found")</f>
        <v>North</v>
      </c>
      <c r="M519" s="8">
        <f>IFERROR(IFNA(hlookup(G519,payment_methods!$A$1:$E$2,2,FALSE),"Payment method not found"), "Payment method not found")</f>
        <v>0.01</v>
      </c>
      <c r="N519" s="8">
        <f t="shared" si="2"/>
        <v>299</v>
      </c>
      <c r="O519" s="8" t="str">
        <f t="shared" si="3"/>
        <v>Normal</v>
      </c>
    </row>
    <row r="520" ht="15.75" customHeight="1">
      <c r="A520" s="3" t="s">
        <v>637</v>
      </c>
      <c r="B520" s="5">
        <v>314.0</v>
      </c>
      <c r="C520" s="5">
        <v>34.0</v>
      </c>
      <c r="D520" s="9">
        <v>46024.75208333333</v>
      </c>
      <c r="E520" s="10">
        <f t="shared" si="1"/>
        <v>46024</v>
      </c>
      <c r="F520" s="5">
        <v>499.0</v>
      </c>
      <c r="G520" s="3" t="s">
        <v>22</v>
      </c>
      <c r="H520" s="3" t="s">
        <v>48</v>
      </c>
      <c r="I520" s="5">
        <v>74.0</v>
      </c>
      <c r="J520" s="8" t="str">
        <f>IFERROR(IFNA(vlookup(C520,merchants!$A$1:$D$41,2,FALSE),"Merchant not found"), "Merchant not found")</f>
        <v>Merchant_034</v>
      </c>
      <c r="K520" s="8" t="str">
        <f>IFERROR(IFNA(vlookup(C520,merchants!$A$1:$D$41,3,FALSE),"Merchant not found"), "Merchant not found")</f>
        <v>travel</v>
      </c>
      <c r="L520" s="8" t="str">
        <f>IFERROR(IFNA(vlookup(C520,merchants!$A$1:$D$41,4,FALSE),"Merchant not found"), "Merchant not found")</f>
        <v>South</v>
      </c>
      <c r="M520" s="8">
        <f>IFERROR(IFNA(hlookup(G520,payment_methods!$A$1:$E$2,2,FALSE),"Payment method not found"), "Payment method not found")</f>
        <v>0.01</v>
      </c>
      <c r="N520" s="8">
        <f t="shared" si="2"/>
        <v>548</v>
      </c>
      <c r="O520" s="8" t="str">
        <f t="shared" si="3"/>
        <v>Normal</v>
      </c>
    </row>
    <row r="521" ht="15.75" customHeight="1">
      <c r="A521" s="3" t="s">
        <v>638</v>
      </c>
      <c r="B521" s="5">
        <v>229.0</v>
      </c>
      <c r="C521" s="5">
        <v>30.0</v>
      </c>
      <c r="D521" s="9">
        <v>46034.5</v>
      </c>
      <c r="E521" s="10">
        <f t="shared" si="1"/>
        <v>46034</v>
      </c>
      <c r="F521" s="5">
        <v>499.0</v>
      </c>
      <c r="G521" s="3" t="s">
        <v>22</v>
      </c>
      <c r="H521" s="3" t="s">
        <v>78</v>
      </c>
      <c r="I521" s="5">
        <v>92.0</v>
      </c>
      <c r="J521" s="8" t="str">
        <f>IFERROR(IFNA(vlookup(C521,merchants!$A$1:$D$41,2,FALSE),"Merchant not found"), "Merchant not found")</f>
        <v>Merchant_030</v>
      </c>
      <c r="K521" s="8" t="str">
        <f>IFERROR(IFNA(vlookup(C521,merchants!$A$1:$D$41,3,FALSE),"Merchant not found"), "Merchant not found")</f>
        <v>travel</v>
      </c>
      <c r="L521" s="8" t="str">
        <f>IFERROR(IFNA(vlookup(C521,merchants!$A$1:$D$41,4,FALSE),"Merchant not found"), "Merchant not found")</f>
        <v>West</v>
      </c>
      <c r="M521" s="8">
        <f>IFERROR(IFNA(hlookup(G521,payment_methods!$A$1:$E$2,2,FALSE),"Payment method not found"), "Payment method not found")</f>
        <v>0.01</v>
      </c>
      <c r="N521" s="8">
        <f t="shared" si="2"/>
        <v>499</v>
      </c>
      <c r="O521" s="8" t="str">
        <f t="shared" si="3"/>
        <v>Normal</v>
      </c>
    </row>
    <row r="522" ht="15.75" customHeight="1">
      <c r="A522" s="3" t="s">
        <v>639</v>
      </c>
      <c r="B522" s="5">
        <v>229.0</v>
      </c>
      <c r="C522" s="5">
        <v>10.0</v>
      </c>
      <c r="D522" s="9">
        <v>46034.50069444445</v>
      </c>
      <c r="E522" s="10">
        <f t="shared" si="1"/>
        <v>46034</v>
      </c>
      <c r="F522" s="5">
        <v>399.0</v>
      </c>
      <c r="G522" s="3" t="s">
        <v>22</v>
      </c>
      <c r="H522" s="3" t="s">
        <v>78</v>
      </c>
      <c r="I522" s="5">
        <v>61.0</v>
      </c>
      <c r="J522" s="8" t="str">
        <f>IFERROR(IFNA(vlookup(C522,merchants!$A$1:$D$41,2,FALSE),"Merchant not found"), "Merchant not found")</f>
        <v>Merchant_010</v>
      </c>
      <c r="K522" s="8" t="str">
        <f>IFERROR(IFNA(vlookup(C522,merchants!$A$1:$D$41,3,FALSE),"Merchant not found"), "Merchant not found")</f>
        <v>grocery</v>
      </c>
      <c r="L522" s="8" t="str">
        <f>IFERROR(IFNA(vlookup(C522,merchants!$A$1:$D$41,4,FALSE),"Merchant not found"), "Merchant not found")</f>
        <v>West</v>
      </c>
      <c r="M522" s="8">
        <f>IFERROR(IFNA(hlookup(G522,payment_methods!$A$1:$E$2,2,FALSE),"Payment method not found"), "Payment method not found")</f>
        <v>0.01</v>
      </c>
      <c r="N522" s="8">
        <f t="shared" si="2"/>
        <v>399</v>
      </c>
      <c r="O522" s="8" t="str">
        <f t="shared" si="3"/>
        <v>Normal</v>
      </c>
    </row>
    <row r="523" ht="15.75" customHeight="1">
      <c r="A523" s="3" t="s">
        <v>640</v>
      </c>
      <c r="B523" s="5">
        <v>229.0</v>
      </c>
      <c r="C523" s="5">
        <v>31.0</v>
      </c>
      <c r="D523" s="9">
        <v>46034.501388888886</v>
      </c>
      <c r="E523" s="10">
        <f t="shared" si="1"/>
        <v>46034</v>
      </c>
      <c r="F523" s="5">
        <v>299.0</v>
      </c>
      <c r="G523" s="3" t="s">
        <v>22</v>
      </c>
      <c r="H523" s="3" t="s">
        <v>78</v>
      </c>
      <c r="I523" s="5">
        <v>78.0</v>
      </c>
      <c r="J523" s="8" t="str">
        <f>IFERROR(IFNA(vlookup(C523,merchants!$A$1:$D$41,2,FALSE),"Merchant not found"), "Merchant not found")</f>
        <v>Merchant_031</v>
      </c>
      <c r="K523" s="8" t="str">
        <f>IFERROR(IFNA(vlookup(C523,merchants!$A$1:$D$41,3,FALSE),"Merchant not found"), "Merchant not found")</f>
        <v>bill_payment</v>
      </c>
      <c r="L523" s="8" t="str">
        <f>IFERROR(IFNA(vlookup(C523,merchants!$A$1:$D$41,4,FALSE),"Merchant not found"), "Merchant not found")</f>
        <v>East</v>
      </c>
      <c r="M523" s="8">
        <f>IFERROR(IFNA(hlookup(G523,payment_methods!$A$1:$E$2,2,FALSE),"Payment method not found"), "Payment method not found")</f>
        <v>0.01</v>
      </c>
      <c r="N523" s="8">
        <f t="shared" si="2"/>
        <v>598</v>
      </c>
      <c r="O523" s="8" t="str">
        <f t="shared" si="3"/>
        <v>Normal</v>
      </c>
    </row>
    <row r="524" ht="15.75" customHeight="1">
      <c r="A524" s="3" t="s">
        <v>641</v>
      </c>
      <c r="B524" s="5">
        <v>229.0</v>
      </c>
      <c r="C524" s="5">
        <v>27.0</v>
      </c>
      <c r="D524" s="9">
        <v>46034.50208333333</v>
      </c>
      <c r="E524" s="10">
        <f t="shared" si="1"/>
        <v>46034</v>
      </c>
      <c r="F524" s="5">
        <v>299.0</v>
      </c>
      <c r="G524" s="3" t="s">
        <v>22</v>
      </c>
      <c r="H524" s="3" t="s">
        <v>48</v>
      </c>
      <c r="I524" s="5">
        <v>67.0</v>
      </c>
      <c r="J524" s="8" t="str">
        <f>IFERROR(IFNA(vlookup(C524,merchants!$A$1:$D$41,2,FALSE),"Merchant not found"), "Merchant not found")</f>
        <v>Merchant_027</v>
      </c>
      <c r="K524" s="8" t="str">
        <f>IFERROR(IFNA(vlookup(C524,merchants!$A$1:$D$41,3,FALSE),"Merchant not found"), "Merchant not found")</f>
        <v>ecommerce</v>
      </c>
      <c r="L524" s="8" t="str">
        <f>IFERROR(IFNA(vlookup(C524,merchants!$A$1:$D$41,4,FALSE),"Merchant not found"), "Merchant not found")</f>
        <v>North</v>
      </c>
      <c r="M524" s="8">
        <f>IFERROR(IFNA(hlookup(G524,payment_methods!$A$1:$E$2,2,FALSE),"Payment method not found"), "Payment method not found")</f>
        <v>0.01</v>
      </c>
      <c r="N524" s="8">
        <f t="shared" si="2"/>
        <v>299</v>
      </c>
      <c r="O524" s="8" t="str">
        <f t="shared" si="3"/>
        <v>Normal</v>
      </c>
    </row>
    <row r="525" ht="15.75" customHeight="1">
      <c r="A525" s="3" t="s">
        <v>642</v>
      </c>
      <c r="B525" s="5">
        <v>73.0</v>
      </c>
      <c r="C525" s="5">
        <v>22.0</v>
      </c>
      <c r="D525" s="9">
        <v>46034.375</v>
      </c>
      <c r="E525" s="10">
        <f t="shared" si="1"/>
        <v>46034</v>
      </c>
      <c r="F525" s="5">
        <v>399.0</v>
      </c>
      <c r="G525" s="3" t="s">
        <v>22</v>
      </c>
      <c r="H525" s="3" t="s">
        <v>78</v>
      </c>
      <c r="I525" s="5">
        <v>73.0</v>
      </c>
      <c r="J525" s="8" t="str">
        <f>IFERROR(IFNA(vlookup(C525,merchants!$A$1:$D$41,2,FALSE),"Merchant not found"), "Merchant not found")</f>
        <v>Merchant_022</v>
      </c>
      <c r="K525" s="8" t="str">
        <f>IFERROR(IFNA(vlookup(C525,merchants!$A$1:$D$41,3,FALSE),"Merchant not found"), "Merchant not found")</f>
        <v>travel</v>
      </c>
      <c r="L525" s="8" t="str">
        <f>IFERROR(IFNA(vlookup(C525,merchants!$A$1:$D$41,4,FALSE),"Merchant not found"), "Merchant not found")</f>
        <v>South</v>
      </c>
      <c r="M525" s="8">
        <f>IFERROR(IFNA(hlookup(G525,payment_methods!$A$1:$E$2,2,FALSE),"Payment method not found"), "Payment method not found")</f>
        <v>0.01</v>
      </c>
      <c r="N525" s="8">
        <f t="shared" si="2"/>
        <v>1697</v>
      </c>
      <c r="O525" s="8" t="str">
        <f t="shared" si="3"/>
        <v>Normal</v>
      </c>
    </row>
    <row r="526" ht="15.75" customHeight="1">
      <c r="A526" s="3" t="s">
        <v>643</v>
      </c>
      <c r="B526" s="5">
        <v>73.0</v>
      </c>
      <c r="C526" s="5">
        <v>34.0</v>
      </c>
      <c r="D526" s="9">
        <v>46034.37569444445</v>
      </c>
      <c r="E526" s="10">
        <f t="shared" si="1"/>
        <v>46034</v>
      </c>
      <c r="F526" s="5">
        <v>399.0</v>
      </c>
      <c r="G526" s="3" t="s">
        <v>22</v>
      </c>
      <c r="H526" s="3" t="s">
        <v>78</v>
      </c>
      <c r="I526" s="5">
        <v>82.0</v>
      </c>
      <c r="J526" s="8" t="str">
        <f>IFERROR(IFNA(vlookup(C526,merchants!$A$1:$D$41,2,FALSE),"Merchant not found"), "Merchant not found")</f>
        <v>Merchant_034</v>
      </c>
      <c r="K526" s="8" t="str">
        <f>IFERROR(IFNA(vlookup(C526,merchants!$A$1:$D$41,3,FALSE),"Merchant not found"), "Merchant not found")</f>
        <v>travel</v>
      </c>
      <c r="L526" s="8" t="str">
        <f>IFERROR(IFNA(vlookup(C526,merchants!$A$1:$D$41,4,FALSE),"Merchant not found"), "Merchant not found")</f>
        <v>South</v>
      </c>
      <c r="M526" s="8">
        <f>IFERROR(IFNA(hlookup(G526,payment_methods!$A$1:$E$2,2,FALSE),"Payment method not found"), "Payment method not found")</f>
        <v>0.01</v>
      </c>
      <c r="N526" s="8">
        <f t="shared" si="2"/>
        <v>399</v>
      </c>
      <c r="O526" s="8" t="str">
        <f t="shared" si="3"/>
        <v>Normal</v>
      </c>
    </row>
    <row r="527" ht="15.75" customHeight="1">
      <c r="A527" s="3" t="s">
        <v>644</v>
      </c>
      <c r="B527" s="5">
        <v>73.0</v>
      </c>
      <c r="C527" s="5">
        <v>31.0</v>
      </c>
      <c r="D527" s="9">
        <v>46034.376388888886</v>
      </c>
      <c r="E527" s="10">
        <f t="shared" si="1"/>
        <v>46034</v>
      </c>
      <c r="F527" s="5">
        <v>299.0</v>
      </c>
      <c r="G527" s="3" t="s">
        <v>22</v>
      </c>
      <c r="H527" s="3" t="s">
        <v>78</v>
      </c>
      <c r="I527" s="5">
        <v>88.0</v>
      </c>
      <c r="J527" s="8" t="str">
        <f>IFERROR(IFNA(vlookup(C527,merchants!$A$1:$D$41,2,FALSE),"Merchant not found"), "Merchant not found")</f>
        <v>Merchant_031</v>
      </c>
      <c r="K527" s="8" t="str">
        <f>IFERROR(IFNA(vlookup(C527,merchants!$A$1:$D$41,3,FALSE),"Merchant not found"), "Merchant not found")</f>
        <v>bill_payment</v>
      </c>
      <c r="L527" s="8" t="str">
        <f>IFERROR(IFNA(vlookup(C527,merchants!$A$1:$D$41,4,FALSE),"Merchant not found"), "Merchant not found")</f>
        <v>East</v>
      </c>
      <c r="M527" s="8">
        <f>IFERROR(IFNA(hlookup(G527,payment_methods!$A$1:$E$2,2,FALSE),"Payment method not found"), "Payment method not found")</f>
        <v>0.01</v>
      </c>
      <c r="N527" s="8">
        <f t="shared" si="2"/>
        <v>598</v>
      </c>
      <c r="O527" s="8" t="str">
        <f t="shared" si="3"/>
        <v>Normal</v>
      </c>
    </row>
    <row r="528" ht="15.75" customHeight="1">
      <c r="A528" s="3" t="s">
        <v>645</v>
      </c>
      <c r="B528" s="5">
        <v>73.0</v>
      </c>
      <c r="C528" s="5">
        <v>29.0</v>
      </c>
      <c r="D528" s="9">
        <v>46034.37708333333</v>
      </c>
      <c r="E528" s="10">
        <f t="shared" si="1"/>
        <v>46034</v>
      </c>
      <c r="F528" s="5">
        <v>399.0</v>
      </c>
      <c r="G528" s="3" t="s">
        <v>22</v>
      </c>
      <c r="H528" s="3" t="s">
        <v>48</v>
      </c>
      <c r="I528" s="5">
        <v>64.0</v>
      </c>
      <c r="J528" s="8" t="str">
        <f>IFERROR(IFNA(vlookup(C528,merchants!$A$1:$D$41,2,FALSE),"Merchant not found"), "Merchant not found")</f>
        <v>Merchant_029</v>
      </c>
      <c r="K528" s="8" t="str">
        <f>IFERROR(IFNA(vlookup(C528,merchants!$A$1:$D$41,3,FALSE),"Merchant not found"), "Merchant not found")</f>
        <v>ecommerce</v>
      </c>
      <c r="L528" s="8" t="str">
        <f>IFERROR(IFNA(vlookup(C528,merchants!$A$1:$D$41,4,FALSE),"Merchant not found"), "Merchant not found")</f>
        <v>North</v>
      </c>
      <c r="M528" s="8">
        <f>IFERROR(IFNA(hlookup(G528,payment_methods!$A$1:$E$2,2,FALSE),"Payment method not found"), "Payment method not found")</f>
        <v>0.01</v>
      </c>
      <c r="N528" s="8">
        <f t="shared" si="2"/>
        <v>399</v>
      </c>
      <c r="O528" s="8" t="str">
        <f t="shared" si="3"/>
        <v>Normal</v>
      </c>
    </row>
    <row r="529" ht="15.75" customHeight="1">
      <c r="A529" s="3" t="s">
        <v>646</v>
      </c>
      <c r="B529" s="5">
        <v>154.0</v>
      </c>
      <c r="C529" s="5">
        <v>8.0</v>
      </c>
      <c r="D529" s="9">
        <v>46024.916666666664</v>
      </c>
      <c r="E529" s="10">
        <f t="shared" si="1"/>
        <v>46024</v>
      </c>
      <c r="F529" s="5">
        <v>299.0</v>
      </c>
      <c r="G529" s="3" t="s">
        <v>22</v>
      </c>
      <c r="H529" s="3" t="s">
        <v>78</v>
      </c>
      <c r="I529" s="5">
        <v>81.0</v>
      </c>
      <c r="J529" s="8" t="str">
        <f>IFERROR(IFNA(vlookup(C529,merchants!$A$1:$D$41,2,FALSE),"Merchant not found"), "Merchant not found")</f>
        <v>Merchant_008</v>
      </c>
      <c r="K529" s="8" t="str">
        <f>IFERROR(IFNA(vlookup(C529,merchants!$A$1:$D$41,3,FALSE),"Merchant not found"), "Merchant not found")</f>
        <v>food_delivery</v>
      </c>
      <c r="L529" s="8" t="str">
        <f>IFERROR(IFNA(vlookup(C529,merchants!$A$1:$D$41,4,FALSE),"Merchant not found"), "Merchant not found")</f>
        <v>North</v>
      </c>
      <c r="M529" s="8">
        <f>IFERROR(IFNA(hlookup(G529,payment_methods!$A$1:$E$2,2,FALSE),"Payment method not found"), "Payment method not found")</f>
        <v>0.01</v>
      </c>
      <c r="N529" s="8">
        <f t="shared" si="2"/>
        <v>299</v>
      </c>
      <c r="O529" s="8" t="str">
        <f t="shared" si="3"/>
        <v>Normal</v>
      </c>
    </row>
    <row r="530" ht="15.75" customHeight="1">
      <c r="A530" s="3" t="s">
        <v>647</v>
      </c>
      <c r="B530" s="5">
        <v>154.0</v>
      </c>
      <c r="C530" s="5">
        <v>7.0</v>
      </c>
      <c r="D530" s="9">
        <v>46024.91736111111</v>
      </c>
      <c r="E530" s="10">
        <f t="shared" si="1"/>
        <v>46024</v>
      </c>
      <c r="F530" s="5">
        <v>499.0</v>
      </c>
      <c r="G530" s="3" t="s">
        <v>22</v>
      </c>
      <c r="H530" s="3" t="s">
        <v>78</v>
      </c>
      <c r="I530" s="5">
        <v>70.0</v>
      </c>
      <c r="J530" s="8" t="str">
        <f>IFERROR(IFNA(vlookup(C530,merchants!$A$1:$D$41,2,FALSE),"Merchant not found"), "Merchant not found")</f>
        <v>Merchant_007</v>
      </c>
      <c r="K530" s="8" t="str">
        <f>IFERROR(IFNA(vlookup(C530,merchants!$A$1:$D$41,3,FALSE),"Merchant not found"), "Merchant not found")</f>
        <v>food_delivery</v>
      </c>
      <c r="L530" s="8" t="str">
        <f>IFERROR(IFNA(vlookup(C530,merchants!$A$1:$D$41,4,FALSE),"Merchant not found"), "Merchant not found")</f>
        <v>East</v>
      </c>
      <c r="M530" s="8">
        <f>IFERROR(IFNA(hlookup(G530,payment_methods!$A$1:$E$2,2,FALSE),"Payment method not found"), "Payment method not found")</f>
        <v>0.01</v>
      </c>
      <c r="N530" s="8">
        <f t="shared" si="2"/>
        <v>3797</v>
      </c>
      <c r="O530" s="8" t="str">
        <f t="shared" si="3"/>
        <v>Normal</v>
      </c>
    </row>
    <row r="531" ht="15.75" customHeight="1">
      <c r="A531" s="3" t="s">
        <v>648</v>
      </c>
      <c r="B531" s="5">
        <v>154.0</v>
      </c>
      <c r="C531" s="5">
        <v>16.0</v>
      </c>
      <c r="D531" s="9">
        <v>46024.91805555556</v>
      </c>
      <c r="E531" s="10">
        <f t="shared" si="1"/>
        <v>46024</v>
      </c>
      <c r="F531" s="5">
        <v>499.0</v>
      </c>
      <c r="G531" s="3" t="s">
        <v>22</v>
      </c>
      <c r="H531" s="3" t="s">
        <v>78</v>
      </c>
      <c r="I531" s="5">
        <v>71.0</v>
      </c>
      <c r="J531" s="8" t="str">
        <f>IFERROR(IFNA(vlookup(C531,merchants!$A$1:$D$41,2,FALSE),"Merchant not found"), "Merchant not found")</f>
        <v>Merchant_016</v>
      </c>
      <c r="K531" s="8" t="str">
        <f>IFERROR(IFNA(vlookup(C531,merchants!$A$1:$D$41,3,FALSE),"Merchant not found"), "Merchant not found")</f>
        <v>bill_payment</v>
      </c>
      <c r="L531" s="8" t="str">
        <f>IFERROR(IFNA(vlookup(C531,merchants!$A$1:$D$41,4,FALSE),"Merchant not found"), "Merchant not found")</f>
        <v>West</v>
      </c>
      <c r="M531" s="8">
        <f>IFERROR(IFNA(hlookup(G531,payment_methods!$A$1:$E$2,2,FALSE),"Payment method not found"), "Payment method not found")</f>
        <v>0.01</v>
      </c>
      <c r="N531" s="8">
        <f t="shared" si="2"/>
        <v>499</v>
      </c>
      <c r="O531" s="8" t="str">
        <f t="shared" si="3"/>
        <v>Normal</v>
      </c>
    </row>
    <row r="532" ht="15.75" customHeight="1">
      <c r="A532" s="3" t="s">
        <v>649</v>
      </c>
      <c r="B532" s="5">
        <v>154.0</v>
      </c>
      <c r="C532" s="5">
        <v>36.0</v>
      </c>
      <c r="D532" s="9">
        <v>46024.91875</v>
      </c>
      <c r="E532" s="10">
        <f t="shared" si="1"/>
        <v>46024</v>
      </c>
      <c r="F532" s="5">
        <v>299.0</v>
      </c>
      <c r="G532" s="3" t="s">
        <v>22</v>
      </c>
      <c r="H532" s="3" t="s">
        <v>48</v>
      </c>
      <c r="I532" s="5">
        <v>81.0</v>
      </c>
      <c r="J532" s="8" t="str">
        <f>IFERROR(IFNA(vlookup(C532,merchants!$A$1:$D$41,2,FALSE),"Merchant not found"), "Merchant not found")</f>
        <v>Merchant_036</v>
      </c>
      <c r="K532" s="8" t="str">
        <f>IFERROR(IFNA(vlookup(C532,merchants!$A$1:$D$41,3,FALSE),"Merchant not found"), "Merchant not found")</f>
        <v>entertainment</v>
      </c>
      <c r="L532" s="8" t="str">
        <f>IFERROR(IFNA(vlookup(C532,merchants!$A$1:$D$41,4,FALSE),"Merchant not found"), "Merchant not found")</f>
        <v>East</v>
      </c>
      <c r="M532" s="8">
        <f>IFERROR(IFNA(hlookup(G532,payment_methods!$A$1:$E$2,2,FALSE),"Payment method not found"), "Payment method not found")</f>
        <v>0.01</v>
      </c>
      <c r="N532" s="8">
        <f t="shared" si="2"/>
        <v>299</v>
      </c>
      <c r="O532" s="8" t="str">
        <f t="shared" si="3"/>
        <v>Normal</v>
      </c>
    </row>
    <row r="533" ht="15.75" customHeight="1">
      <c r="A533" s="3" t="s">
        <v>650</v>
      </c>
      <c r="B533" s="5">
        <v>287.0</v>
      </c>
      <c r="C533" s="5">
        <v>15.0</v>
      </c>
      <c r="D533" s="9">
        <v>46036.583333333336</v>
      </c>
      <c r="E533" s="10">
        <f t="shared" si="1"/>
        <v>46036</v>
      </c>
      <c r="F533" s="5">
        <v>399.0</v>
      </c>
      <c r="G533" s="3" t="s">
        <v>22</v>
      </c>
      <c r="H533" s="3" t="s">
        <v>78</v>
      </c>
      <c r="I533" s="5">
        <v>71.0</v>
      </c>
      <c r="J533" s="8" t="str">
        <f>IFERROR(IFNA(vlookup(C533,merchants!$A$1:$D$41,2,FALSE),"Merchant not found"), "Merchant not found")</f>
        <v>Merchant_015</v>
      </c>
      <c r="K533" s="8" t="str">
        <f>IFERROR(IFNA(vlookup(C533,merchants!$A$1:$D$41,3,FALSE),"Merchant not found"), "Merchant not found")</f>
        <v>travel</v>
      </c>
      <c r="L533" s="8" t="str">
        <f>IFERROR(IFNA(vlookup(C533,merchants!$A$1:$D$41,4,FALSE),"Merchant not found"), "Merchant not found")</f>
        <v>North</v>
      </c>
      <c r="M533" s="8">
        <f>IFERROR(IFNA(hlookup(G533,payment_methods!$A$1:$E$2,2,FALSE),"Payment method not found"), "Payment method not found")</f>
        <v>0.01</v>
      </c>
      <c r="N533" s="8">
        <f t="shared" si="2"/>
        <v>399</v>
      </c>
      <c r="O533" s="8" t="str">
        <f t="shared" si="3"/>
        <v>Normal</v>
      </c>
    </row>
    <row r="534" ht="15.75" customHeight="1">
      <c r="A534" s="3" t="s">
        <v>651</v>
      </c>
      <c r="B534" s="5">
        <v>287.0</v>
      </c>
      <c r="C534" s="5">
        <v>12.0</v>
      </c>
      <c r="D534" s="9">
        <v>46036.584027777775</v>
      </c>
      <c r="E534" s="10">
        <f t="shared" si="1"/>
        <v>46036</v>
      </c>
      <c r="F534" s="5">
        <v>499.0</v>
      </c>
      <c r="G534" s="3" t="s">
        <v>22</v>
      </c>
      <c r="H534" s="3" t="s">
        <v>78</v>
      </c>
      <c r="I534" s="5">
        <v>87.0</v>
      </c>
      <c r="J534" s="8" t="str">
        <f>IFERROR(IFNA(vlookup(C534,merchants!$A$1:$D$41,2,FALSE),"Merchant not found"), "Merchant not found")</f>
        <v>Merchant_012</v>
      </c>
      <c r="K534" s="8" t="str">
        <f>IFERROR(IFNA(vlookup(C534,merchants!$A$1:$D$41,3,FALSE),"Merchant not found"), "Merchant not found")</f>
        <v>ecommerce</v>
      </c>
      <c r="L534" s="8" t="str">
        <f>IFERROR(IFNA(vlookup(C534,merchants!$A$1:$D$41,4,FALSE),"Merchant not found"), "Merchant not found")</f>
        <v>East</v>
      </c>
      <c r="M534" s="8">
        <f>IFERROR(IFNA(hlookup(G534,payment_methods!$A$1:$E$2,2,FALSE),"Payment method not found"), "Payment method not found")</f>
        <v>0.01</v>
      </c>
      <c r="N534" s="8">
        <f t="shared" si="2"/>
        <v>548</v>
      </c>
      <c r="O534" s="8" t="str">
        <f t="shared" si="3"/>
        <v>Normal</v>
      </c>
    </row>
    <row r="535" ht="15.75" customHeight="1">
      <c r="A535" s="3" t="s">
        <v>652</v>
      </c>
      <c r="B535" s="5">
        <v>287.0</v>
      </c>
      <c r="C535" s="5">
        <v>26.0</v>
      </c>
      <c r="D535" s="9">
        <v>46036.58472222222</v>
      </c>
      <c r="E535" s="10">
        <f t="shared" si="1"/>
        <v>46036</v>
      </c>
      <c r="F535" s="5">
        <v>299.0</v>
      </c>
      <c r="G535" s="3" t="s">
        <v>22</v>
      </c>
      <c r="H535" s="3" t="s">
        <v>78</v>
      </c>
      <c r="I535" s="5">
        <v>72.0</v>
      </c>
      <c r="J535" s="8" t="str">
        <f>IFERROR(IFNA(vlookup(C535,merchants!$A$1:$D$41,2,FALSE),"Merchant not found"), "Merchant not found")</f>
        <v>Merchant_026</v>
      </c>
      <c r="K535" s="8" t="str">
        <f>IFERROR(IFNA(vlookup(C535,merchants!$A$1:$D$41,3,FALSE),"Merchant not found"), "Merchant not found")</f>
        <v>food_delivery</v>
      </c>
      <c r="L535" s="8" t="str">
        <f>IFERROR(IFNA(vlookup(C535,merchants!$A$1:$D$41,4,FALSE),"Merchant not found"), "Merchant not found")</f>
        <v>East</v>
      </c>
      <c r="M535" s="8">
        <f>IFERROR(IFNA(hlookup(G535,payment_methods!$A$1:$E$2,2,FALSE),"Payment method not found"), "Payment method not found")</f>
        <v>0.01</v>
      </c>
      <c r="N535" s="8">
        <f t="shared" si="2"/>
        <v>299</v>
      </c>
      <c r="O535" s="8" t="str">
        <f t="shared" si="3"/>
        <v>Normal</v>
      </c>
    </row>
    <row r="536" ht="15.75" customHeight="1">
      <c r="A536" s="3" t="s">
        <v>653</v>
      </c>
      <c r="B536" s="5">
        <v>287.0</v>
      </c>
      <c r="C536" s="5">
        <v>29.0</v>
      </c>
      <c r="D536" s="9">
        <v>46036.58541666667</v>
      </c>
      <c r="E536" s="10">
        <f t="shared" si="1"/>
        <v>46036</v>
      </c>
      <c r="F536" s="5">
        <v>499.0</v>
      </c>
      <c r="G536" s="3" t="s">
        <v>22</v>
      </c>
      <c r="H536" s="3" t="s">
        <v>48</v>
      </c>
      <c r="I536" s="5">
        <v>87.0</v>
      </c>
      <c r="J536" s="8" t="str">
        <f>IFERROR(IFNA(vlookup(C536,merchants!$A$1:$D$41,2,FALSE),"Merchant not found"), "Merchant not found")</f>
        <v>Merchant_029</v>
      </c>
      <c r="K536" s="8" t="str">
        <f>IFERROR(IFNA(vlookup(C536,merchants!$A$1:$D$41,3,FALSE),"Merchant not found"), "Merchant not found")</f>
        <v>ecommerce</v>
      </c>
      <c r="L536" s="8" t="str">
        <f>IFERROR(IFNA(vlookup(C536,merchants!$A$1:$D$41,4,FALSE),"Merchant not found"), "Merchant not found")</f>
        <v>North</v>
      </c>
      <c r="M536" s="8">
        <f>IFERROR(IFNA(hlookup(G536,payment_methods!$A$1:$E$2,2,FALSE),"Payment method not found"), "Payment method not found")</f>
        <v>0.01</v>
      </c>
      <c r="N536" s="8">
        <f t="shared" si="2"/>
        <v>1998</v>
      </c>
      <c r="O536" s="8" t="str">
        <f t="shared" si="3"/>
        <v>Normal</v>
      </c>
    </row>
    <row r="537" ht="15.75" customHeight="1">
      <c r="A537" s="3" t="s">
        <v>654</v>
      </c>
      <c r="B537" s="5">
        <v>200.0</v>
      </c>
      <c r="C537" s="5">
        <v>14.0</v>
      </c>
      <c r="D537" s="9">
        <v>46023.916666666664</v>
      </c>
      <c r="E537" s="10">
        <f t="shared" si="1"/>
        <v>46023</v>
      </c>
      <c r="F537" s="5">
        <v>299.0</v>
      </c>
      <c r="G537" s="3" t="s">
        <v>22</v>
      </c>
      <c r="H537" s="3" t="s">
        <v>78</v>
      </c>
      <c r="I537" s="5">
        <v>77.0</v>
      </c>
      <c r="J537" s="8" t="str">
        <f>IFERROR(IFNA(vlookup(C537,merchants!$A$1:$D$41,2,FALSE),"Merchant not found"), "Merchant not found")</f>
        <v>Merchant_014</v>
      </c>
      <c r="K537" s="8" t="str">
        <f>IFERROR(IFNA(vlookup(C537,merchants!$A$1:$D$41,3,FALSE),"Merchant not found"), "Merchant not found")</f>
        <v>grocery</v>
      </c>
      <c r="L537" s="8" t="str">
        <f>IFERROR(IFNA(vlookup(C537,merchants!$A$1:$D$41,4,FALSE),"Merchant not found"), "Merchant not found")</f>
        <v>East</v>
      </c>
      <c r="M537" s="8">
        <f>IFERROR(IFNA(hlookup(G537,payment_methods!$A$1:$E$2,2,FALSE),"Payment method not found"), "Payment method not found")</f>
        <v>0.01</v>
      </c>
      <c r="N537" s="8">
        <f t="shared" si="2"/>
        <v>299</v>
      </c>
      <c r="O537" s="8" t="str">
        <f t="shared" si="3"/>
        <v>Normal</v>
      </c>
    </row>
    <row r="538" ht="15.75" customHeight="1">
      <c r="A538" s="3" t="s">
        <v>655</v>
      </c>
      <c r="B538" s="5">
        <v>200.0</v>
      </c>
      <c r="C538" s="5">
        <v>5.0</v>
      </c>
      <c r="D538" s="9">
        <v>46023.91736111111</v>
      </c>
      <c r="E538" s="10">
        <f t="shared" si="1"/>
        <v>46023</v>
      </c>
      <c r="F538" s="5">
        <v>499.0</v>
      </c>
      <c r="G538" s="3" t="s">
        <v>22</v>
      </c>
      <c r="H538" s="3" t="s">
        <v>78</v>
      </c>
      <c r="I538" s="5">
        <v>66.0</v>
      </c>
      <c r="J538" s="8" t="str">
        <f>IFERROR(IFNA(vlookup(C538,merchants!$A$1:$D$41,2,FALSE),"Merchant not found"), "Merchant not found")</f>
        <v>Merchant_005</v>
      </c>
      <c r="K538" s="8" t="str">
        <f>IFERROR(IFNA(vlookup(C538,merchants!$A$1:$D$41,3,FALSE),"Merchant not found"), "Merchant not found")</f>
        <v>recharge</v>
      </c>
      <c r="L538" s="8" t="str">
        <f>IFERROR(IFNA(vlookup(C538,merchants!$A$1:$D$41,4,FALSE),"Merchant not found"), "Merchant not found")</f>
        <v>South</v>
      </c>
      <c r="M538" s="8">
        <f>IFERROR(IFNA(hlookup(G538,payment_methods!$A$1:$E$2,2,FALSE),"Payment method not found"), "Payment method not found")</f>
        <v>0.01</v>
      </c>
      <c r="N538" s="8">
        <f t="shared" si="2"/>
        <v>499</v>
      </c>
      <c r="O538" s="8" t="str">
        <f t="shared" si="3"/>
        <v>Normal</v>
      </c>
    </row>
    <row r="539" ht="15.75" customHeight="1">
      <c r="A539" s="3" t="s">
        <v>656</v>
      </c>
      <c r="B539" s="5">
        <v>200.0</v>
      </c>
      <c r="C539" s="5">
        <v>35.0</v>
      </c>
      <c r="D539" s="9">
        <v>46023.91805555556</v>
      </c>
      <c r="E539" s="10">
        <f t="shared" si="1"/>
        <v>46023</v>
      </c>
      <c r="F539" s="5">
        <v>299.0</v>
      </c>
      <c r="G539" s="3" t="s">
        <v>22</v>
      </c>
      <c r="H539" s="3" t="s">
        <v>78</v>
      </c>
      <c r="I539" s="5">
        <v>83.0</v>
      </c>
      <c r="J539" s="8" t="str">
        <f>IFERROR(IFNA(vlookup(C539,merchants!$A$1:$D$41,2,FALSE),"Merchant not found"), "Merchant not found")</f>
        <v>Merchant_035</v>
      </c>
      <c r="K539" s="8" t="str">
        <f>IFERROR(IFNA(vlookup(C539,merchants!$A$1:$D$41,3,FALSE),"Merchant not found"), "Merchant not found")</f>
        <v>recharge</v>
      </c>
      <c r="L539" s="8" t="str">
        <f>IFERROR(IFNA(vlookup(C539,merchants!$A$1:$D$41,4,FALSE),"Merchant not found"), "Merchant not found")</f>
        <v>East</v>
      </c>
      <c r="M539" s="8">
        <f>IFERROR(IFNA(hlookup(G539,payment_methods!$A$1:$E$2,2,FALSE),"Payment method not found"), "Payment method not found")</f>
        <v>0.01</v>
      </c>
      <c r="N539" s="8">
        <f t="shared" si="2"/>
        <v>798</v>
      </c>
      <c r="O539" s="8" t="str">
        <f t="shared" si="3"/>
        <v>Normal</v>
      </c>
    </row>
    <row r="540" ht="15.75" customHeight="1">
      <c r="A540" s="3" t="s">
        <v>657</v>
      </c>
      <c r="B540" s="5">
        <v>200.0</v>
      </c>
      <c r="C540" s="5">
        <v>21.0</v>
      </c>
      <c r="D540" s="9">
        <v>46023.91875</v>
      </c>
      <c r="E540" s="10">
        <f t="shared" si="1"/>
        <v>46023</v>
      </c>
      <c r="F540" s="5">
        <v>299.0</v>
      </c>
      <c r="G540" s="3" t="s">
        <v>22</v>
      </c>
      <c r="H540" s="3" t="s">
        <v>48</v>
      </c>
      <c r="I540" s="5">
        <v>89.0</v>
      </c>
      <c r="J540" s="8" t="str">
        <f>IFERROR(IFNA(vlookup(C540,merchants!$A$1:$D$41,2,FALSE),"Merchant not found"), "Merchant not found")</f>
        <v>Merchant_021</v>
      </c>
      <c r="K540" s="8" t="str">
        <f>IFERROR(IFNA(vlookup(C540,merchants!$A$1:$D$41,3,FALSE),"Merchant not found"), "Merchant not found")</f>
        <v>food_delivery</v>
      </c>
      <c r="L540" s="8" t="str">
        <f>IFERROR(IFNA(vlookup(C540,merchants!$A$1:$D$41,4,FALSE),"Merchant not found"), "Merchant not found")</f>
        <v>East</v>
      </c>
      <c r="M540" s="8">
        <f>IFERROR(IFNA(hlookup(G540,payment_methods!$A$1:$E$2,2,FALSE),"Payment method not found"), "Payment method not found")</f>
        <v>0.01</v>
      </c>
      <c r="N540" s="8">
        <f t="shared" si="2"/>
        <v>5298</v>
      </c>
      <c r="O540" s="8" t="str">
        <f t="shared" si="3"/>
        <v>Normal</v>
      </c>
    </row>
    <row r="541" ht="15.75" customHeight="1">
      <c r="A541" s="3" t="s">
        <v>658</v>
      </c>
      <c r="B541" s="5">
        <v>59.0</v>
      </c>
      <c r="C541" s="5">
        <v>32.0</v>
      </c>
      <c r="D541" s="9">
        <v>46031.875</v>
      </c>
      <c r="E541" s="10">
        <f t="shared" si="1"/>
        <v>46031</v>
      </c>
      <c r="F541" s="5">
        <v>499.0</v>
      </c>
      <c r="G541" s="3" t="s">
        <v>22</v>
      </c>
      <c r="H541" s="3" t="s">
        <v>78</v>
      </c>
      <c r="I541" s="5">
        <v>80.0</v>
      </c>
      <c r="J541" s="8" t="str">
        <f>IFERROR(IFNA(vlookup(C541,merchants!$A$1:$D$41,2,FALSE),"Merchant not found"), "Merchant not found")</f>
        <v>Merchant_032</v>
      </c>
      <c r="K541" s="8" t="str">
        <f>IFERROR(IFNA(vlookup(C541,merchants!$A$1:$D$41,3,FALSE),"Merchant not found"), "Merchant not found")</f>
        <v>food_delivery</v>
      </c>
      <c r="L541" s="8" t="str">
        <f>IFERROR(IFNA(vlookup(C541,merchants!$A$1:$D$41,4,FALSE),"Merchant not found"), "Merchant not found")</f>
        <v>West</v>
      </c>
      <c r="M541" s="8">
        <f>IFERROR(IFNA(hlookup(G541,payment_methods!$A$1:$E$2,2,FALSE),"Payment method not found"), "Payment method not found")</f>
        <v>0.01</v>
      </c>
      <c r="N541" s="8">
        <f t="shared" si="2"/>
        <v>499</v>
      </c>
      <c r="O541" s="8" t="str">
        <f t="shared" si="3"/>
        <v>Normal</v>
      </c>
    </row>
    <row r="542" ht="15.75" customHeight="1">
      <c r="A542" s="3" t="s">
        <v>659</v>
      </c>
      <c r="B542" s="5">
        <v>59.0</v>
      </c>
      <c r="C542" s="5">
        <v>39.0</v>
      </c>
      <c r="D542" s="9">
        <v>46031.87569444445</v>
      </c>
      <c r="E542" s="10">
        <f t="shared" si="1"/>
        <v>46031</v>
      </c>
      <c r="F542" s="5">
        <v>399.0</v>
      </c>
      <c r="G542" s="3" t="s">
        <v>22</v>
      </c>
      <c r="H542" s="3" t="s">
        <v>78</v>
      </c>
      <c r="I542" s="5">
        <v>85.0</v>
      </c>
      <c r="J542" s="8" t="str">
        <f>IFERROR(IFNA(vlookup(C542,merchants!$A$1:$D$41,2,FALSE),"Merchant not found"), "Merchant not found")</f>
        <v>Merchant_039</v>
      </c>
      <c r="K542" s="8" t="str">
        <f>IFERROR(IFNA(vlookup(C542,merchants!$A$1:$D$41,3,FALSE),"Merchant not found"), "Merchant not found")</f>
        <v>entertainment</v>
      </c>
      <c r="L542" s="8" t="str">
        <f>IFERROR(IFNA(vlookup(C542,merchants!$A$1:$D$41,4,FALSE),"Merchant not found"), "Merchant not found")</f>
        <v>North</v>
      </c>
      <c r="M542" s="8">
        <f>IFERROR(IFNA(hlookup(G542,payment_methods!$A$1:$E$2,2,FALSE),"Payment method not found"), "Payment method not found")</f>
        <v>0.01</v>
      </c>
      <c r="N542" s="8">
        <f t="shared" si="2"/>
        <v>399</v>
      </c>
      <c r="O542" s="8" t="str">
        <f t="shared" si="3"/>
        <v>Normal</v>
      </c>
    </row>
    <row r="543" ht="15.75" customHeight="1">
      <c r="A543" s="3" t="s">
        <v>660</v>
      </c>
      <c r="B543" s="5">
        <v>59.0</v>
      </c>
      <c r="C543" s="5">
        <v>38.0</v>
      </c>
      <c r="D543" s="9">
        <v>46031.876388888886</v>
      </c>
      <c r="E543" s="10">
        <f t="shared" si="1"/>
        <v>46031</v>
      </c>
      <c r="F543" s="5">
        <v>299.0</v>
      </c>
      <c r="G543" s="3" t="s">
        <v>22</v>
      </c>
      <c r="H543" s="3" t="s">
        <v>78</v>
      </c>
      <c r="I543" s="5">
        <v>82.0</v>
      </c>
      <c r="J543" s="8" t="str">
        <f>IFERROR(IFNA(vlookup(C543,merchants!$A$1:$D$41,2,FALSE),"Merchant not found"), "Merchant not found")</f>
        <v>Merchant_038</v>
      </c>
      <c r="K543" s="8" t="str">
        <f>IFERROR(IFNA(vlookup(C543,merchants!$A$1:$D$41,3,FALSE),"Merchant not found"), "Merchant not found")</f>
        <v>grocery</v>
      </c>
      <c r="L543" s="8" t="str">
        <f>IFERROR(IFNA(vlookup(C543,merchants!$A$1:$D$41,4,FALSE),"Merchant not found"), "Merchant not found")</f>
        <v>East</v>
      </c>
      <c r="M543" s="8">
        <f>IFERROR(IFNA(hlookup(G543,payment_methods!$A$1:$E$2,2,FALSE),"Payment method not found"), "Payment method not found")</f>
        <v>0.01</v>
      </c>
      <c r="N543" s="8">
        <f t="shared" si="2"/>
        <v>348</v>
      </c>
      <c r="O543" s="8" t="str">
        <f t="shared" si="3"/>
        <v>Normal</v>
      </c>
    </row>
    <row r="544" ht="15.75" customHeight="1">
      <c r="A544" s="3" t="s">
        <v>661</v>
      </c>
      <c r="B544" s="5">
        <v>59.0</v>
      </c>
      <c r="C544" s="5">
        <v>23.0</v>
      </c>
      <c r="D544" s="9">
        <v>46031.87708333333</v>
      </c>
      <c r="E544" s="10">
        <f t="shared" si="1"/>
        <v>46031</v>
      </c>
      <c r="F544" s="5">
        <v>399.0</v>
      </c>
      <c r="G544" s="3" t="s">
        <v>22</v>
      </c>
      <c r="H544" s="3" t="s">
        <v>48</v>
      </c>
      <c r="I544" s="5">
        <v>71.0</v>
      </c>
      <c r="J544" s="8" t="str">
        <f>IFERROR(IFNA(vlookup(C544,merchants!$A$1:$D$41,2,FALSE),"Merchant not found"), "Merchant not found")</f>
        <v>Merchant_023</v>
      </c>
      <c r="K544" s="8" t="str">
        <f>IFERROR(IFNA(vlookup(C544,merchants!$A$1:$D$41,3,FALSE),"Merchant not found"), "Merchant not found")</f>
        <v>travel</v>
      </c>
      <c r="L544" s="8" t="str">
        <f>IFERROR(IFNA(vlookup(C544,merchants!$A$1:$D$41,4,FALSE),"Merchant not found"), "Merchant not found")</f>
        <v>North</v>
      </c>
      <c r="M544" s="8">
        <f>IFERROR(IFNA(hlookup(G544,payment_methods!$A$1:$E$2,2,FALSE),"Payment method not found"), "Payment method not found")</f>
        <v>0.01</v>
      </c>
      <c r="N544" s="8">
        <f t="shared" si="2"/>
        <v>399</v>
      </c>
      <c r="O544" s="8" t="str">
        <f t="shared" si="3"/>
        <v>Normal</v>
      </c>
    </row>
    <row r="545" ht="15.75" customHeight="1">
      <c r="A545" s="3" t="s">
        <v>662</v>
      </c>
      <c r="B545" s="5">
        <v>345.0</v>
      </c>
      <c r="C545" s="5">
        <v>40.0</v>
      </c>
      <c r="D545" s="9">
        <v>46045.375</v>
      </c>
      <c r="E545" s="10">
        <f t="shared" si="1"/>
        <v>46045</v>
      </c>
      <c r="F545" s="5">
        <v>499.0</v>
      </c>
      <c r="G545" s="3" t="s">
        <v>22</v>
      </c>
      <c r="H545" s="3" t="s">
        <v>78</v>
      </c>
      <c r="I545" s="5">
        <v>65.0</v>
      </c>
      <c r="J545" s="8" t="str">
        <f>IFERROR(IFNA(vlookup(C545,merchants!$A$1:$D$41,2,FALSE),"Merchant not found"), "Merchant not found")</f>
        <v>Merchant_040</v>
      </c>
      <c r="K545" s="8" t="str">
        <f>IFERROR(IFNA(vlookup(C545,merchants!$A$1:$D$41,3,FALSE),"Merchant not found"), "Merchant not found")</f>
        <v>entertainment</v>
      </c>
      <c r="L545" s="8" t="str">
        <f>IFERROR(IFNA(vlookup(C545,merchants!$A$1:$D$41,4,FALSE),"Merchant not found"), "Merchant not found")</f>
        <v>South</v>
      </c>
      <c r="M545" s="8">
        <f>IFERROR(IFNA(hlookup(G545,payment_methods!$A$1:$E$2,2,FALSE),"Payment method not found"), "Payment method not found")</f>
        <v>0.01</v>
      </c>
      <c r="N545" s="8">
        <f t="shared" si="2"/>
        <v>598</v>
      </c>
      <c r="O545" s="8" t="str">
        <f t="shared" si="3"/>
        <v>Normal</v>
      </c>
    </row>
    <row r="546" ht="15.75" customHeight="1">
      <c r="A546" s="3" t="s">
        <v>663</v>
      </c>
      <c r="B546" s="5">
        <v>345.0</v>
      </c>
      <c r="C546" s="5">
        <v>9.0</v>
      </c>
      <c r="D546" s="9">
        <v>46045.37569444445</v>
      </c>
      <c r="E546" s="10">
        <f t="shared" si="1"/>
        <v>46045</v>
      </c>
      <c r="F546" s="5">
        <v>399.0</v>
      </c>
      <c r="G546" s="3" t="s">
        <v>22</v>
      </c>
      <c r="H546" s="3" t="s">
        <v>78</v>
      </c>
      <c r="I546" s="5">
        <v>67.0</v>
      </c>
      <c r="J546" s="8" t="str">
        <f>IFERROR(IFNA(vlookup(C546,merchants!$A$1:$D$41,2,FALSE),"Merchant not found"), "Merchant not found")</f>
        <v>Merchant_009</v>
      </c>
      <c r="K546" s="8" t="str">
        <f>IFERROR(IFNA(vlookup(C546,merchants!$A$1:$D$41,3,FALSE),"Merchant not found"), "Merchant not found")</f>
        <v>ecommerce</v>
      </c>
      <c r="L546" s="8" t="str">
        <f>IFERROR(IFNA(vlookup(C546,merchants!$A$1:$D$41,4,FALSE),"Merchant not found"), "Merchant not found")</f>
        <v>North</v>
      </c>
      <c r="M546" s="8">
        <f>IFERROR(IFNA(hlookup(G546,payment_methods!$A$1:$E$2,2,FALSE),"Payment method not found"), "Payment method not found")</f>
        <v>0.01</v>
      </c>
      <c r="N546" s="8">
        <f t="shared" si="2"/>
        <v>898</v>
      </c>
      <c r="O546" s="8" t="str">
        <f t="shared" si="3"/>
        <v>Normal</v>
      </c>
    </row>
    <row r="547" ht="15.75" customHeight="1">
      <c r="A547" s="3" t="s">
        <v>664</v>
      </c>
      <c r="B547" s="5">
        <v>345.0</v>
      </c>
      <c r="C547" s="5">
        <v>16.0</v>
      </c>
      <c r="D547" s="9">
        <v>46045.376388888886</v>
      </c>
      <c r="E547" s="10">
        <f t="shared" si="1"/>
        <v>46045</v>
      </c>
      <c r="F547" s="5">
        <v>399.0</v>
      </c>
      <c r="G547" s="3" t="s">
        <v>22</v>
      </c>
      <c r="H547" s="3" t="s">
        <v>78</v>
      </c>
      <c r="I547" s="5">
        <v>67.0</v>
      </c>
      <c r="J547" s="8" t="str">
        <f>IFERROR(IFNA(vlookup(C547,merchants!$A$1:$D$41,2,FALSE),"Merchant not found"), "Merchant not found")</f>
        <v>Merchant_016</v>
      </c>
      <c r="K547" s="8" t="str">
        <f>IFERROR(IFNA(vlookup(C547,merchants!$A$1:$D$41,3,FALSE),"Merchant not found"), "Merchant not found")</f>
        <v>bill_payment</v>
      </c>
      <c r="L547" s="8" t="str">
        <f>IFERROR(IFNA(vlookup(C547,merchants!$A$1:$D$41,4,FALSE),"Merchant not found"), "Merchant not found")</f>
        <v>West</v>
      </c>
      <c r="M547" s="8">
        <f>IFERROR(IFNA(hlookup(G547,payment_methods!$A$1:$E$2,2,FALSE),"Payment method not found"), "Payment method not found")</f>
        <v>0.01</v>
      </c>
      <c r="N547" s="8">
        <f t="shared" si="2"/>
        <v>399</v>
      </c>
      <c r="O547" s="8" t="str">
        <f t="shared" si="3"/>
        <v>Normal</v>
      </c>
    </row>
    <row r="548" ht="15.75" customHeight="1">
      <c r="A548" s="3" t="s">
        <v>665</v>
      </c>
      <c r="B548" s="5">
        <v>345.0</v>
      </c>
      <c r="C548" s="5">
        <v>12.0</v>
      </c>
      <c r="D548" s="9">
        <v>46045.37708333333</v>
      </c>
      <c r="E548" s="10">
        <f t="shared" si="1"/>
        <v>46045</v>
      </c>
      <c r="F548" s="5">
        <v>399.0</v>
      </c>
      <c r="G548" s="3" t="s">
        <v>22</v>
      </c>
      <c r="H548" s="3" t="s">
        <v>48</v>
      </c>
      <c r="I548" s="5">
        <v>69.0</v>
      </c>
      <c r="J548" s="8" t="str">
        <f>IFERROR(IFNA(vlookup(C548,merchants!$A$1:$D$41,2,FALSE),"Merchant not found"), "Merchant not found")</f>
        <v>Merchant_012</v>
      </c>
      <c r="K548" s="8" t="str">
        <f>IFERROR(IFNA(vlookup(C548,merchants!$A$1:$D$41,3,FALSE),"Merchant not found"), "Merchant not found")</f>
        <v>ecommerce</v>
      </c>
      <c r="L548" s="8" t="str">
        <f>IFERROR(IFNA(vlookup(C548,merchants!$A$1:$D$41,4,FALSE),"Merchant not found"), "Merchant not found")</f>
        <v>East</v>
      </c>
      <c r="M548" s="8">
        <f>IFERROR(IFNA(hlookup(G548,payment_methods!$A$1:$E$2,2,FALSE),"Payment method not found"), "Payment method not found")</f>
        <v>0.01</v>
      </c>
      <c r="N548" s="8">
        <f t="shared" si="2"/>
        <v>448</v>
      </c>
      <c r="O548" s="8" t="str">
        <f t="shared" si="3"/>
        <v>Normal</v>
      </c>
    </row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A$548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3" width="15.38"/>
    <col customWidth="1" min="4" max="4" width="18.25"/>
    <col customWidth="1" min="5" max="6" width="9.25"/>
    <col customWidth="1" min="8" max="8" width="23.0"/>
    <col customWidth="1" min="9" max="9" width="18.25"/>
  </cols>
  <sheetData>
    <row r="1" ht="15.75" customHeight="1">
      <c r="A1" s="2" t="s">
        <v>2</v>
      </c>
      <c r="G1" s="4" t="s">
        <v>6</v>
      </c>
    </row>
    <row r="2" ht="15.75" customHeight="1"/>
    <row r="3" ht="15.75" customHeight="1">
      <c r="G3" s="8" t="s">
        <v>1</v>
      </c>
      <c r="H3" s="8" t="s">
        <v>75</v>
      </c>
      <c r="I3" s="8" t="s">
        <v>76</v>
      </c>
    </row>
    <row r="4" ht="15.75" customHeight="1">
      <c r="G4" s="8">
        <v>1.0</v>
      </c>
      <c r="H4" s="8">
        <v>7.0</v>
      </c>
      <c r="I4" s="8">
        <v>9.0</v>
      </c>
    </row>
    <row r="5" ht="15.75" customHeight="1">
      <c r="G5" s="8">
        <v>2.0</v>
      </c>
      <c r="H5" s="8">
        <v>9.0</v>
      </c>
      <c r="I5" s="8">
        <v>10.0</v>
      </c>
    </row>
    <row r="6" ht="15.75" customHeight="1">
      <c r="G6" s="8">
        <v>3.0</v>
      </c>
      <c r="H6" s="8">
        <v>13.0</v>
      </c>
      <c r="I6" s="8">
        <v>17.0</v>
      </c>
    </row>
    <row r="7" ht="15.75" customHeight="1">
      <c r="G7" s="8">
        <v>4.0</v>
      </c>
      <c r="H7" s="8">
        <v>7.0</v>
      </c>
      <c r="I7" s="8">
        <v>9.0</v>
      </c>
    </row>
    <row r="8" ht="15.75" customHeight="1">
      <c r="G8" s="8">
        <v>5.0</v>
      </c>
      <c r="H8" s="8">
        <v>9.0</v>
      </c>
      <c r="I8" s="8">
        <v>11.0</v>
      </c>
    </row>
    <row r="9" ht="15.75" customHeight="1">
      <c r="G9" s="8">
        <v>6.0</v>
      </c>
      <c r="H9" s="8">
        <v>12.0</v>
      </c>
      <c r="I9" s="8">
        <v>14.0</v>
      </c>
    </row>
    <row r="10" ht="15.75" customHeight="1">
      <c r="G10" s="8">
        <v>7.0</v>
      </c>
      <c r="H10" s="8">
        <v>11.0</v>
      </c>
      <c r="I10" s="8">
        <v>16.0</v>
      </c>
    </row>
    <row r="11" ht="15.75" customHeight="1">
      <c r="G11" s="8">
        <v>8.0</v>
      </c>
      <c r="H11" s="8">
        <v>13.0</v>
      </c>
      <c r="I11" s="8">
        <v>16.0</v>
      </c>
    </row>
    <row r="12" ht="15.75" customHeight="1">
      <c r="G12" s="8">
        <v>9.0</v>
      </c>
      <c r="H12" s="8">
        <v>14.0</v>
      </c>
      <c r="I12" s="8">
        <v>18.0</v>
      </c>
    </row>
    <row r="13" ht="15.75" customHeight="1">
      <c r="G13" s="8">
        <v>10.0</v>
      </c>
      <c r="H13" s="8">
        <v>12.0</v>
      </c>
      <c r="I13" s="8">
        <v>14.0</v>
      </c>
    </row>
    <row r="14" ht="15.75" customHeight="1">
      <c r="G14" s="8">
        <v>11.0</v>
      </c>
      <c r="H14" s="8">
        <v>9.0</v>
      </c>
      <c r="I14" s="8">
        <v>10.0</v>
      </c>
    </row>
    <row r="15" ht="15.75" customHeight="1">
      <c r="G15" s="8">
        <v>12.0</v>
      </c>
      <c r="H15" s="8">
        <v>9.0</v>
      </c>
      <c r="I15" s="8">
        <v>13.0</v>
      </c>
    </row>
    <row r="16" ht="15.75" customHeight="1">
      <c r="G16" s="8">
        <v>13.0</v>
      </c>
      <c r="H16" s="8">
        <v>11.0</v>
      </c>
      <c r="I16" s="8">
        <v>12.0</v>
      </c>
    </row>
    <row r="17" ht="15.75" customHeight="1">
      <c r="G17" s="8">
        <v>14.0</v>
      </c>
      <c r="H17" s="8">
        <v>11.0</v>
      </c>
      <c r="I17" s="8">
        <v>12.0</v>
      </c>
    </row>
    <row r="18" ht="15.75" customHeight="1">
      <c r="G18" s="8">
        <v>15.0</v>
      </c>
      <c r="H18" s="8">
        <v>10.0</v>
      </c>
      <c r="I18" s="8">
        <v>12.0</v>
      </c>
    </row>
    <row r="19" ht="15.75" customHeight="1">
      <c r="G19" s="8">
        <v>16.0</v>
      </c>
      <c r="H19" s="8">
        <v>15.0</v>
      </c>
      <c r="I19" s="8">
        <v>20.0</v>
      </c>
    </row>
    <row r="20" ht="15.75" customHeight="1">
      <c r="G20" s="8">
        <v>17.0</v>
      </c>
      <c r="H20" s="8">
        <v>10.0</v>
      </c>
      <c r="I20" s="8">
        <v>13.0</v>
      </c>
    </row>
    <row r="21" ht="15.75" customHeight="1">
      <c r="G21" s="8">
        <v>18.0</v>
      </c>
      <c r="H21" s="8">
        <v>9.0</v>
      </c>
      <c r="I21" s="8">
        <v>11.0</v>
      </c>
    </row>
    <row r="22" ht="15.75" customHeight="1">
      <c r="G22" s="8">
        <v>19.0</v>
      </c>
      <c r="H22" s="8">
        <v>12.0</v>
      </c>
      <c r="I22" s="8">
        <v>14.0</v>
      </c>
    </row>
    <row r="23" ht="15.75" customHeight="1">
      <c r="G23" s="8">
        <v>20.0</v>
      </c>
      <c r="H23" s="8">
        <v>8.0</v>
      </c>
      <c r="I23" s="8">
        <v>9.0</v>
      </c>
    </row>
    <row r="24" ht="15.75" customHeight="1">
      <c r="G24" s="8">
        <v>21.0</v>
      </c>
      <c r="H24" s="8">
        <v>13.0</v>
      </c>
      <c r="I24" s="8">
        <v>14.0</v>
      </c>
    </row>
    <row r="25" ht="15.75" customHeight="1">
      <c r="G25" s="8">
        <v>22.0</v>
      </c>
      <c r="H25" s="8">
        <v>11.0</v>
      </c>
      <c r="I25" s="8">
        <v>16.0</v>
      </c>
    </row>
    <row r="26" ht="15.75" customHeight="1">
      <c r="G26" s="8">
        <v>23.0</v>
      </c>
      <c r="H26" s="8">
        <v>8.0</v>
      </c>
      <c r="I26" s="8">
        <v>10.0</v>
      </c>
    </row>
    <row r="27" ht="15.75" customHeight="1">
      <c r="G27" s="8">
        <v>24.0</v>
      </c>
      <c r="H27" s="8">
        <v>11.0</v>
      </c>
      <c r="I27" s="8">
        <v>13.0</v>
      </c>
    </row>
    <row r="28" ht="15.75" customHeight="1">
      <c r="G28" s="8">
        <v>25.0</v>
      </c>
      <c r="H28" s="8">
        <v>11.0</v>
      </c>
      <c r="I28" s="8">
        <v>17.0</v>
      </c>
    </row>
    <row r="29" ht="15.75" customHeight="1">
      <c r="G29" s="8">
        <v>26.0</v>
      </c>
      <c r="H29" s="8">
        <v>11.0</v>
      </c>
      <c r="I29" s="8">
        <v>12.0</v>
      </c>
    </row>
    <row r="30" ht="15.75" customHeight="1">
      <c r="G30" s="8">
        <v>27.0</v>
      </c>
      <c r="H30" s="8">
        <v>13.0</v>
      </c>
      <c r="I30" s="8">
        <v>16.0</v>
      </c>
    </row>
    <row r="31" ht="15.75" customHeight="1">
      <c r="G31" s="8">
        <v>28.0</v>
      </c>
      <c r="H31" s="8">
        <v>10.0</v>
      </c>
      <c r="I31" s="8">
        <v>10.0</v>
      </c>
    </row>
    <row r="32" ht="15.75" customHeight="1">
      <c r="G32" s="8">
        <v>29.0</v>
      </c>
      <c r="H32" s="8">
        <v>13.0</v>
      </c>
      <c r="I32" s="8">
        <v>19.0</v>
      </c>
    </row>
    <row r="33" ht="15.75" customHeight="1">
      <c r="G33" s="8">
        <v>30.0</v>
      </c>
      <c r="H33" s="8">
        <v>13.0</v>
      </c>
      <c r="I33" s="8">
        <v>17.0</v>
      </c>
    </row>
    <row r="34" ht="15.75" customHeight="1">
      <c r="G34" s="8">
        <v>31.0</v>
      </c>
      <c r="H34" s="8">
        <v>14.0</v>
      </c>
      <c r="I34" s="8">
        <v>15.0</v>
      </c>
    </row>
    <row r="35" ht="15.75" customHeight="1">
      <c r="G35" s="8">
        <v>32.0</v>
      </c>
      <c r="H35" s="8">
        <v>12.0</v>
      </c>
      <c r="I35" s="8">
        <v>14.0</v>
      </c>
    </row>
    <row r="36" ht="15.75" customHeight="1">
      <c r="G36" s="8">
        <v>33.0</v>
      </c>
      <c r="H36" s="8">
        <v>10.0</v>
      </c>
      <c r="I36" s="8">
        <v>11.0</v>
      </c>
    </row>
    <row r="37" ht="15.75" customHeight="1">
      <c r="G37" s="8">
        <v>34.0</v>
      </c>
      <c r="H37" s="8">
        <v>12.0</v>
      </c>
      <c r="I37" s="8">
        <v>16.0</v>
      </c>
    </row>
    <row r="38" ht="15.75" customHeight="1">
      <c r="G38" s="8">
        <v>35.0</v>
      </c>
      <c r="H38" s="8">
        <v>11.0</v>
      </c>
      <c r="I38" s="8">
        <v>14.0</v>
      </c>
    </row>
    <row r="39" ht="15.75" customHeight="1">
      <c r="G39" s="8">
        <v>36.0</v>
      </c>
      <c r="H39" s="8">
        <v>12.0</v>
      </c>
      <c r="I39" s="8">
        <v>16.0</v>
      </c>
    </row>
    <row r="40" ht="15.75" customHeight="1">
      <c r="G40" s="8">
        <v>37.0</v>
      </c>
      <c r="H40" s="8">
        <v>16.0</v>
      </c>
      <c r="I40" s="8">
        <v>19.0</v>
      </c>
    </row>
    <row r="41" ht="15.75" customHeight="1">
      <c r="G41" s="8">
        <v>38.0</v>
      </c>
      <c r="H41" s="8">
        <v>8.0</v>
      </c>
      <c r="I41" s="8">
        <v>10.0</v>
      </c>
    </row>
    <row r="42" ht="15.75" customHeight="1">
      <c r="G42" s="8">
        <v>39.0</v>
      </c>
      <c r="H42" s="8">
        <v>10.0</v>
      </c>
      <c r="I42" s="8">
        <v>13.0</v>
      </c>
    </row>
    <row r="43" ht="15.75" customHeight="1">
      <c r="G43" s="8">
        <v>40.0</v>
      </c>
      <c r="H43" s="8">
        <v>13.0</v>
      </c>
      <c r="I43" s="8">
        <v>15.0</v>
      </c>
    </row>
    <row r="44" ht="15.75" customHeight="1">
      <c r="G44" s="8" t="s">
        <v>96</v>
      </c>
      <c r="H44" s="8">
        <v>30.0</v>
      </c>
      <c r="I44" s="8">
        <v>547.0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" t="s">
        <v>1</v>
      </c>
      <c r="B1" s="3" t="s">
        <v>8</v>
      </c>
      <c r="C1" s="3" t="s">
        <v>10</v>
      </c>
      <c r="D1" s="3" t="s">
        <v>12</v>
      </c>
    </row>
    <row r="2" ht="15.75" customHeight="1">
      <c r="A2" s="5">
        <v>1.0</v>
      </c>
      <c r="B2" s="3" t="s">
        <v>14</v>
      </c>
      <c r="C2" s="3" t="s">
        <v>17</v>
      </c>
      <c r="D2" s="3" t="s">
        <v>18</v>
      </c>
    </row>
    <row r="3" ht="15.75" customHeight="1">
      <c r="A3" s="5">
        <v>2.0</v>
      </c>
      <c r="B3" s="3" t="s">
        <v>21</v>
      </c>
      <c r="C3" s="3" t="s">
        <v>23</v>
      </c>
      <c r="D3" s="3" t="s">
        <v>24</v>
      </c>
    </row>
    <row r="4" ht="15.75" customHeight="1">
      <c r="A4" s="5">
        <v>3.0</v>
      </c>
      <c r="B4" s="3" t="s">
        <v>26</v>
      </c>
      <c r="C4" s="3" t="s">
        <v>23</v>
      </c>
      <c r="D4" s="3" t="s">
        <v>27</v>
      </c>
    </row>
    <row r="5" ht="15.75" customHeight="1">
      <c r="A5" s="5">
        <v>4.0</v>
      </c>
      <c r="B5" s="3" t="s">
        <v>28</v>
      </c>
      <c r="C5" s="3" t="s">
        <v>17</v>
      </c>
      <c r="D5" s="3" t="s">
        <v>27</v>
      </c>
    </row>
    <row r="6" ht="15.75" customHeight="1">
      <c r="A6" s="5">
        <v>5.0</v>
      </c>
      <c r="B6" s="3" t="s">
        <v>29</v>
      </c>
      <c r="C6" s="3" t="s">
        <v>30</v>
      </c>
      <c r="D6" s="3" t="s">
        <v>18</v>
      </c>
    </row>
    <row r="7" ht="15.75" customHeight="1">
      <c r="A7" s="5">
        <v>6.0</v>
      </c>
      <c r="B7" s="3" t="s">
        <v>31</v>
      </c>
      <c r="C7" s="3" t="s">
        <v>32</v>
      </c>
      <c r="D7" s="3" t="s">
        <v>18</v>
      </c>
    </row>
    <row r="8" ht="15.75" customHeight="1">
      <c r="A8" s="5">
        <v>7.0</v>
      </c>
      <c r="B8" s="3" t="s">
        <v>33</v>
      </c>
      <c r="C8" s="3" t="s">
        <v>32</v>
      </c>
      <c r="D8" s="3" t="s">
        <v>27</v>
      </c>
    </row>
    <row r="9" ht="15.75" customHeight="1">
      <c r="A9" s="5">
        <v>8.0</v>
      </c>
      <c r="B9" s="3" t="s">
        <v>34</v>
      </c>
      <c r="C9" s="3" t="s">
        <v>32</v>
      </c>
      <c r="D9" s="3" t="s">
        <v>35</v>
      </c>
    </row>
    <row r="10" ht="15.75" customHeight="1">
      <c r="A10" s="5">
        <v>9.0</v>
      </c>
      <c r="B10" s="3" t="s">
        <v>36</v>
      </c>
      <c r="C10" s="3" t="s">
        <v>17</v>
      </c>
      <c r="D10" s="3" t="s">
        <v>35</v>
      </c>
    </row>
    <row r="11" ht="15.75" customHeight="1">
      <c r="A11" s="5">
        <v>10.0</v>
      </c>
      <c r="B11" s="3" t="s">
        <v>37</v>
      </c>
      <c r="C11" s="3" t="s">
        <v>23</v>
      </c>
      <c r="D11" s="3" t="s">
        <v>24</v>
      </c>
    </row>
    <row r="12" ht="15.75" customHeight="1">
      <c r="A12" s="5">
        <v>11.0</v>
      </c>
      <c r="B12" s="3" t="s">
        <v>38</v>
      </c>
      <c r="C12" s="3" t="s">
        <v>17</v>
      </c>
      <c r="D12" s="3" t="s">
        <v>35</v>
      </c>
    </row>
    <row r="13" ht="15.75" customHeight="1">
      <c r="A13" s="5">
        <v>12.0</v>
      </c>
      <c r="B13" s="3" t="s">
        <v>40</v>
      </c>
      <c r="C13" s="3" t="s">
        <v>17</v>
      </c>
      <c r="D13" s="3" t="s">
        <v>27</v>
      </c>
    </row>
    <row r="14" ht="15.75" customHeight="1">
      <c r="A14" s="5">
        <v>13.0</v>
      </c>
      <c r="B14" s="3" t="s">
        <v>41</v>
      </c>
      <c r="C14" s="3" t="s">
        <v>42</v>
      </c>
      <c r="D14" s="3" t="s">
        <v>27</v>
      </c>
    </row>
    <row r="15" ht="15.75" customHeight="1">
      <c r="A15" s="5">
        <v>14.0</v>
      </c>
      <c r="B15" s="3" t="s">
        <v>43</v>
      </c>
      <c r="C15" s="3" t="s">
        <v>23</v>
      </c>
      <c r="D15" s="3" t="s">
        <v>27</v>
      </c>
    </row>
    <row r="16" ht="15.75" customHeight="1">
      <c r="A16" s="5">
        <v>15.0</v>
      </c>
      <c r="B16" s="3" t="s">
        <v>44</v>
      </c>
      <c r="C16" s="3" t="s">
        <v>42</v>
      </c>
      <c r="D16" s="3" t="s">
        <v>35</v>
      </c>
    </row>
    <row r="17" ht="15.75" customHeight="1">
      <c r="A17" s="5">
        <v>16.0</v>
      </c>
      <c r="B17" s="3" t="s">
        <v>45</v>
      </c>
      <c r="C17" s="3" t="s">
        <v>46</v>
      </c>
      <c r="D17" s="3" t="s">
        <v>24</v>
      </c>
    </row>
    <row r="18" ht="15.75" customHeight="1">
      <c r="A18" s="5">
        <v>17.0</v>
      </c>
      <c r="B18" s="3" t="s">
        <v>47</v>
      </c>
      <c r="C18" s="3" t="s">
        <v>23</v>
      </c>
      <c r="D18" s="3" t="s">
        <v>35</v>
      </c>
    </row>
    <row r="19" ht="15.75" customHeight="1">
      <c r="A19" s="5">
        <v>18.0</v>
      </c>
      <c r="B19" s="3" t="s">
        <v>49</v>
      </c>
      <c r="C19" s="3" t="s">
        <v>23</v>
      </c>
      <c r="D19" s="3" t="s">
        <v>24</v>
      </c>
    </row>
    <row r="20" ht="15.75" customHeight="1">
      <c r="A20" s="5">
        <v>19.0</v>
      </c>
      <c r="B20" s="3" t="s">
        <v>50</v>
      </c>
      <c r="C20" s="3" t="s">
        <v>23</v>
      </c>
      <c r="D20" s="3" t="s">
        <v>35</v>
      </c>
    </row>
    <row r="21" ht="15.75" customHeight="1">
      <c r="A21" s="5">
        <v>20.0</v>
      </c>
      <c r="B21" s="3" t="s">
        <v>51</v>
      </c>
      <c r="C21" s="3" t="s">
        <v>32</v>
      </c>
      <c r="D21" s="3" t="s">
        <v>27</v>
      </c>
    </row>
    <row r="22" ht="15.75" customHeight="1">
      <c r="A22" s="5">
        <v>21.0</v>
      </c>
      <c r="B22" s="3" t="s">
        <v>52</v>
      </c>
      <c r="C22" s="3" t="s">
        <v>32</v>
      </c>
      <c r="D22" s="3" t="s">
        <v>27</v>
      </c>
    </row>
    <row r="23" ht="15.75" customHeight="1">
      <c r="A23" s="5">
        <v>22.0</v>
      </c>
      <c r="B23" s="3" t="s">
        <v>53</v>
      </c>
      <c r="C23" s="3" t="s">
        <v>42</v>
      </c>
      <c r="D23" s="3" t="s">
        <v>18</v>
      </c>
    </row>
    <row r="24" ht="15.75" customHeight="1">
      <c r="A24" s="5">
        <v>23.0</v>
      </c>
      <c r="B24" s="3" t="s">
        <v>54</v>
      </c>
      <c r="C24" s="3" t="s">
        <v>42</v>
      </c>
      <c r="D24" s="3" t="s">
        <v>35</v>
      </c>
    </row>
    <row r="25" ht="15.75" customHeight="1">
      <c r="A25" s="5">
        <v>24.0</v>
      </c>
      <c r="B25" s="3" t="s">
        <v>55</v>
      </c>
      <c r="C25" s="3" t="s">
        <v>23</v>
      </c>
      <c r="D25" s="3" t="s">
        <v>35</v>
      </c>
    </row>
    <row r="26" ht="15.75" customHeight="1">
      <c r="A26" s="5">
        <v>25.0</v>
      </c>
      <c r="B26" s="3" t="s">
        <v>56</v>
      </c>
      <c r="C26" s="3" t="s">
        <v>42</v>
      </c>
      <c r="D26" s="3" t="s">
        <v>18</v>
      </c>
    </row>
    <row r="27" ht="15.75" customHeight="1">
      <c r="A27" s="5">
        <v>26.0</v>
      </c>
      <c r="B27" s="3" t="s">
        <v>57</v>
      </c>
      <c r="C27" s="3" t="s">
        <v>32</v>
      </c>
      <c r="D27" s="3" t="s">
        <v>27</v>
      </c>
    </row>
    <row r="28" ht="15.75" customHeight="1">
      <c r="A28" s="5">
        <v>27.0</v>
      </c>
      <c r="B28" s="3" t="s">
        <v>58</v>
      </c>
      <c r="C28" s="3" t="s">
        <v>17</v>
      </c>
      <c r="D28" s="3" t="s">
        <v>35</v>
      </c>
    </row>
    <row r="29" ht="15.75" customHeight="1">
      <c r="A29" s="5">
        <v>28.0</v>
      </c>
      <c r="B29" s="3" t="s">
        <v>59</v>
      </c>
      <c r="C29" s="3" t="s">
        <v>17</v>
      </c>
      <c r="D29" s="3" t="s">
        <v>18</v>
      </c>
    </row>
    <row r="30" ht="15.75" customHeight="1">
      <c r="A30" s="5">
        <v>29.0</v>
      </c>
      <c r="B30" s="3" t="s">
        <v>60</v>
      </c>
      <c r="C30" s="3" t="s">
        <v>17</v>
      </c>
      <c r="D30" s="3" t="s">
        <v>35</v>
      </c>
    </row>
    <row r="31" ht="15.75" customHeight="1">
      <c r="A31" s="5">
        <v>30.0</v>
      </c>
      <c r="B31" s="3" t="s">
        <v>61</v>
      </c>
      <c r="C31" s="3" t="s">
        <v>42</v>
      </c>
      <c r="D31" s="3" t="s">
        <v>24</v>
      </c>
    </row>
    <row r="32" ht="15.75" customHeight="1">
      <c r="A32" s="5">
        <v>31.0</v>
      </c>
      <c r="B32" s="3" t="s">
        <v>62</v>
      </c>
      <c r="C32" s="3" t="s">
        <v>46</v>
      </c>
      <c r="D32" s="3" t="s">
        <v>27</v>
      </c>
    </row>
    <row r="33" ht="15.75" customHeight="1">
      <c r="A33" s="5">
        <v>32.0</v>
      </c>
      <c r="B33" s="3" t="s">
        <v>63</v>
      </c>
      <c r="C33" s="3" t="s">
        <v>32</v>
      </c>
      <c r="D33" s="3" t="s">
        <v>24</v>
      </c>
    </row>
    <row r="34" ht="15.75" customHeight="1">
      <c r="A34" s="5">
        <v>33.0</v>
      </c>
      <c r="B34" s="3" t="s">
        <v>64</v>
      </c>
      <c r="C34" s="3" t="s">
        <v>46</v>
      </c>
      <c r="D34" s="3" t="s">
        <v>27</v>
      </c>
    </row>
    <row r="35" ht="15.75" customHeight="1">
      <c r="A35" s="5">
        <v>34.0</v>
      </c>
      <c r="B35" s="3" t="s">
        <v>65</v>
      </c>
      <c r="C35" s="3" t="s">
        <v>42</v>
      </c>
      <c r="D35" s="3" t="s">
        <v>18</v>
      </c>
    </row>
    <row r="36" ht="15.75" customHeight="1">
      <c r="A36" s="5">
        <v>35.0</v>
      </c>
      <c r="B36" s="3" t="s">
        <v>66</v>
      </c>
      <c r="C36" s="3" t="s">
        <v>30</v>
      </c>
      <c r="D36" s="3" t="s">
        <v>27</v>
      </c>
    </row>
    <row r="37" ht="15.75" customHeight="1">
      <c r="A37" s="5">
        <v>36.0</v>
      </c>
      <c r="B37" s="3" t="s">
        <v>67</v>
      </c>
      <c r="C37" s="3" t="s">
        <v>68</v>
      </c>
      <c r="D37" s="3" t="s">
        <v>27</v>
      </c>
    </row>
    <row r="38" ht="15.75" customHeight="1">
      <c r="A38" s="5">
        <v>37.0</v>
      </c>
      <c r="B38" s="3" t="s">
        <v>69</v>
      </c>
      <c r="C38" s="3" t="s">
        <v>68</v>
      </c>
      <c r="D38" s="3" t="s">
        <v>18</v>
      </c>
    </row>
    <row r="39" ht="15.75" customHeight="1">
      <c r="A39" s="5">
        <v>38.0</v>
      </c>
      <c r="B39" s="3" t="s">
        <v>70</v>
      </c>
      <c r="C39" s="3" t="s">
        <v>23</v>
      </c>
      <c r="D39" s="3" t="s">
        <v>27</v>
      </c>
    </row>
    <row r="40" ht="15.75" customHeight="1">
      <c r="A40" s="5">
        <v>39.0</v>
      </c>
      <c r="B40" s="3" t="s">
        <v>71</v>
      </c>
      <c r="C40" s="3" t="s">
        <v>68</v>
      </c>
      <c r="D40" s="3" t="s">
        <v>35</v>
      </c>
    </row>
    <row r="41" ht="15.75" customHeight="1">
      <c r="A41" s="5">
        <v>40.0</v>
      </c>
      <c r="B41" s="3" t="s">
        <v>72</v>
      </c>
      <c r="C41" s="3" t="s">
        <v>68</v>
      </c>
      <c r="D41" s="3" t="s">
        <v>18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75"/>
    <col customWidth="1" min="2" max="6" width="12.63"/>
  </cols>
  <sheetData>
    <row r="1" ht="15.75" customHeight="1">
      <c r="A1" s="1" t="s">
        <v>9</v>
      </c>
      <c r="B1" s="3" t="s">
        <v>15</v>
      </c>
      <c r="C1" s="3" t="s">
        <v>20</v>
      </c>
      <c r="D1" s="3" t="s">
        <v>22</v>
      </c>
      <c r="E1" s="3" t="s">
        <v>25</v>
      </c>
    </row>
    <row r="2" ht="15.75" customHeight="1">
      <c r="A2" s="2" t="s">
        <v>16</v>
      </c>
      <c r="B2" s="6">
        <v>0.0025</v>
      </c>
      <c r="C2" s="7">
        <v>0.0</v>
      </c>
      <c r="D2" s="6">
        <v>0.01</v>
      </c>
      <c r="E2" s="6">
        <v>0.005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